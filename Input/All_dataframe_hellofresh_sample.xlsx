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Gebruiker\Documents\GitHub\FoodWastePics\Input\Simulated\"/>
    </mc:Choice>
  </mc:AlternateContent>
  <xr:revisionPtr revIDLastSave="0" documentId="13_ncr:1_{23990481-B0AB-4657-B9D2-50EC761F238E}" xr6:coauthVersionLast="47" xr6:coauthVersionMax="47" xr10:uidLastSave="{00000000-0000-0000-0000-000000000000}"/>
  <bookViews>
    <workbookView xWindow="-120" yWindow="-120" windowWidth="38640" windowHeight="21240" xr2:uid="{BCDA81A0-CA7E-49BB-9B66-523B710CA13B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1" i="1" l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 l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95" i="1" l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29" i="1" l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<sst xmlns="http://schemas.openxmlformats.org/spreadsheetml/2006/main" count="709" uniqueCount="216">
  <si>
    <t>Your name</t>
  </si>
  <si>
    <t>Day</t>
  </si>
  <si>
    <t>Meal Name</t>
  </si>
  <si>
    <t>Person Nr</t>
  </si>
  <si>
    <t>Moment of the meal</t>
  </si>
  <si>
    <t>Plate Size (cm)</t>
  </si>
  <si>
    <t>Empty plate weight (g)</t>
  </si>
  <si>
    <t>Post meal weight (g)</t>
  </si>
  <si>
    <t>Leftovers weight (g)</t>
  </si>
  <si>
    <t>Recipe Name</t>
  </si>
  <si>
    <t>Recipe Link</t>
  </si>
  <si>
    <t>This should identify the household in which the photo is taken</t>
  </si>
  <si>
    <t>please indicate which day of the week you've prepared the meal</t>
  </si>
  <si>
    <t>A shortened version of the meal name (no underscores or spaces please!)</t>
  </si>
  <si>
    <t>a number indicating whom's plate was photographed</t>
  </si>
  <si>
    <t>this should be either 50-30% eaten, 30-10% eaten or finished (only leftovers on the plate)</t>
  </si>
  <si>
    <t>please measure plate size</t>
  </si>
  <si>
    <t>please weigh the plate when there is nothing on it</t>
  </si>
  <si>
    <t>weigh again the plate during or after the meal</t>
  </si>
  <si>
    <t>this can be done automatically, using the formula below in the cell</t>
  </si>
  <si>
    <t>add recipe name as indicated by HelloFresh</t>
  </si>
  <si>
    <t>add the link to the recipe on the website of HelloFresh</t>
  </si>
  <si>
    <t>Meike</t>
  </si>
  <si>
    <t>Tuesday</t>
  </si>
  <si>
    <t>NoodlesChicken</t>
  </si>
  <si>
    <t>Noedles met kipgehakt en aziatische saus</t>
  </si>
  <si>
    <t>https://www.hellofresh.nl/recipes/noedels-met-kipgehakt-en-aziatische-saus-5fd0c5b7943827314d7b7d75</t>
  </si>
  <si>
    <t>finished</t>
  </si>
  <si>
    <t>Wednesday</t>
  </si>
  <si>
    <t>PastaVeggie</t>
  </si>
  <si>
    <t>Volkoren penne met rodepesto-tomaten saus</t>
  </si>
  <si>
    <t>https://www.hellofresh.nl/recipes/volkoren-penne-met-rode-pesto-tomatensaus-6482f79c4726b736914e1a6f</t>
  </si>
  <si>
    <t>Thursday</t>
  </si>
  <si>
    <t>RiceShrimps</t>
  </si>
  <si>
    <t>Krokante garnalen met zoet-pittige saus</t>
  </si>
  <si>
    <t>https://www.hellofresh.nl/recipes/krokante-garnalen-met-kokosrijst-6661c3ce5fb32512350b4fc2</t>
  </si>
  <si>
    <t>Nina</t>
  </si>
  <si>
    <t>ChickenCranberryCurrySauce</t>
  </si>
  <si>
    <t>50-30%</t>
  </si>
  <si>
    <t>chicken with apricot curry sauce served with baked potatoes and fluffy rice</t>
  </si>
  <si>
    <t>https://www.hellofresh.de/recipes/hahnchen-mit-aprikosen-curry-sosse-65d86c68700746d2fe51fc64</t>
  </si>
  <si>
    <t>30-10%</t>
  </si>
  <si>
    <t>https://www.hellofresh.de/recipes/hahnchen-mit-aprikosen-curry-sosse-65d86c68700746d2fe51fc65</t>
  </si>
  <si>
    <t>https://www.hellofresh.de/recipes/hahnchen-mit-aprikosen-curry-sosse-65d86c68700746d2fe51fc66</t>
  </si>
  <si>
    <t>https://www.hellofresh.de/recipes/hahnchen-mit-aprikosen-curry-sosse-65d86c68700746d2fe51fc67</t>
  </si>
  <si>
    <t>https://www.hellofresh.de/recipes/hahnchen-mit-aprikosen-curry-sosse-65d86c68700746d2fe51fc68</t>
  </si>
  <si>
    <t>https://www.hellofresh.de/recipes/hahnchen-mit-aprikosen-curry-sosse-65d86c68700746d2fe51fc69</t>
  </si>
  <si>
    <t>https://www.hellofresh.de/recipes/hahnchen-mit-aprikosen-curry-sosse-65d86c68700746d2fe51fc70</t>
  </si>
  <si>
    <t>https://www.hellofresh.de/recipes/hahnchen-mit-aprikosen-curry-sosse-65d86c68700746d2fe51fc73</t>
  </si>
  <si>
    <t>https://www.hellofresh.de/recipes/hahnchen-mit-aprikosen-curry-sosse-65d86c68700746d2fe51fc74</t>
  </si>
  <si>
    <t>https://www.hellofresh.de/recipes/hahnchen-mit-aprikosen-curry-sosse-65d86c68700746d2fe51fc75</t>
  </si>
  <si>
    <t>Fish</t>
  </si>
  <si>
    <t>skandi hake in cream and mustard sauce with lemon rice and cucumber salad</t>
  </si>
  <si>
    <t>https://www.hellofresh.de/recipes/skandi-seehecht-in-sahne-senf-sosse-64916bcb7c7d6edb8b03aee2</t>
  </si>
  <si>
    <t>https://www.hellofresh.de/recipes/skandi-seehecht-in-sahne-senf-sosse-64916bcb7c7d6edb8b03aee3</t>
  </si>
  <si>
    <t>https://www.hellofresh.de/recipes/skandi-seehecht-in-sahne-senf-sosse-64916bcb7c7d6edb8b03aee4</t>
  </si>
  <si>
    <t>https://www.hellofresh.de/recipes/skandi-seehecht-in-sahne-senf-sosse-64916bcb7c7d6edb8b03aee5</t>
  </si>
  <si>
    <t>https://www.hellofresh.de/recipes/skandi-seehecht-in-sahne-senf-sosse-64916bcb7c7d6edb8b03aee8</t>
  </si>
  <si>
    <t>https://www.hellofresh.de/recipes/skandi-seehecht-in-sahne-senf-sosse-64916bcb7c7d6edb8b03aee9</t>
  </si>
  <si>
    <t>https://www.hellofresh.de/recipes/skandi-seehecht-in-sahne-senf-sosse-64916bcb7c7d6edb8b03aee10</t>
  </si>
  <si>
    <t>Lentilsouffle</t>
  </si>
  <si>
    <t>Lentil soufflé with cheese and potato topping, carrots, champions and parsley</t>
  </si>
  <si>
    <t>https://www.hellofresh.de/recipes/linsenauflauf-mit-kase-kartoffel-haube-65bcbbf4fb38871420c61dc1</t>
  </si>
  <si>
    <t>Mariam</t>
  </si>
  <si>
    <t>50-30</t>
  </si>
  <si>
    <t>26,3</t>
  </si>
  <si>
    <t>Garnelen in mediterraner Marinade auf Orzo</t>
  </si>
  <si>
    <t>https://www.hellofresh.de/recipes/garnelen-in-mediterraner-marinade-auf-orzo-salat-65b24289d1da3988cdd86720</t>
  </si>
  <si>
    <t>Mitja_Wed_Meal1_1.jpg</t>
  </si>
  <si>
    <t>10%-30%</t>
  </si>
  <si>
    <t>https://www.hellofresh.de/recipes/garnelen-in-mediterraner-marinade-auf-orzo-salat-65b24289d1da3988cdd86721</t>
  </si>
  <si>
    <t>Mitja_Wed_Meal1_2.jpg</t>
  </si>
  <si>
    <t>https://www.hellofresh.de/recipes/garnelen-in-mediterraner-marinade-auf-orzo-salat-65b24289d1da3988cdd86722</t>
  </si>
  <si>
    <t>Mitja_Wed_Meal1_3.jpg</t>
  </si>
  <si>
    <t>50%-30%</t>
  </si>
  <si>
    <t>https://www.hellofresh.de/recipes/garnelen-in-mediterraner-marinade-auf-orzo-salat-65b24289d1da3988cdd86723</t>
  </si>
  <si>
    <t>Mariam_Wed_Meal1_1.jpg</t>
  </si>
  <si>
    <t>https://www.hellofresh.de/recipes/garnelen-in-mediterraner-marinade-auf-orzo-salat-65b24289d1da3988cdd86724</t>
  </si>
  <si>
    <t>Mariam_Wed_Meal1_2.jpg</t>
  </si>
  <si>
    <t>https://www.hellofresh.de/recipes/garnelen-in-mediterraner-marinade-auf-orzo-salat-65b24289d1da3988cdd86725</t>
  </si>
  <si>
    <t>Mariam_Wed_Meal1_3.jpg</t>
  </si>
  <si>
    <t xml:space="preserve"> 18.10.2024</t>
  </si>
  <si>
    <t>Teriyaki-Fischfilet auf Ingwer-Süßkartoffelstampf
mit scharfem Gurkensalat</t>
  </si>
  <si>
    <t>https://www.hellofresh.de/recipes/pangasius-in-teriyaki-sosse-662f9c6d7ceb4fe1685f1ab2</t>
  </si>
  <si>
    <t>Mitja_Fri_Meal2_1.jpg</t>
  </si>
  <si>
    <t>Mitja_Fri_Meal2_2.jpg</t>
  </si>
  <si>
    <t>Mitja_Fri_Meal2_3.jpg</t>
  </si>
  <si>
    <t>Mariam_Fri_Meal2_1.jpg</t>
  </si>
  <si>
    <t>Mariam_Fri_Meal2_2.jpg</t>
  </si>
  <si>
    <t>Mariam_Fri_Meal2_3.jpg</t>
  </si>
  <si>
    <t>One-Tray Hähnchenbrust in Aprikosen-Marinade
mit Rosenkohl, Süßkartoffel und Gochujang-Mayo-Dip</t>
  </si>
  <si>
    <t>https://www.hellofresh.de/recipes/asiatisches-stir-fry-vom-blech-mit-hahnchenbrust-64e860854e40d5c6cb1a51ee</t>
  </si>
  <si>
    <t>Mitja_Sun_Meal3_1.jpg</t>
  </si>
  <si>
    <t>Mitja_Sun_Meal3_2.jpg</t>
  </si>
  <si>
    <t>Mitja_Sun_Meal3_3.jpg</t>
  </si>
  <si>
    <t>Mariam_Sun_Meal3_1.jpg</t>
  </si>
  <si>
    <t>Mariam_Sun_Meal3_2.jpg</t>
  </si>
  <si>
    <t>Mariam_Sun_Meal3_3.jpg</t>
  </si>
  <si>
    <t>Erica</t>
  </si>
  <si>
    <t>Saturday</t>
  </si>
  <si>
    <t>OrzoGroente</t>
  </si>
  <si>
    <t>Orzo met geroosterde groenten en volkoren knoflookbrood</t>
  </si>
  <si>
    <t>https://www.hellofresh.nl/recipes/orzo-met-geroosterde-groenten-en-volkoren-knoflookbrood-6669a42fbd13e7439ddc08f0</t>
  </si>
  <si>
    <t>Monday</t>
  </si>
  <si>
    <t>Aardappelroerbak</t>
  </si>
  <si>
    <t>Aardappelroerbak met spiegelei en champignons</t>
  </si>
  <si>
    <t>https://www.hellofresh.nl/recipes/aardappelroerbak-met-spiegelei-en-kaas-658d7dd0f9d1ffb514ddb85b</t>
  </si>
  <si>
    <t>Kaas</t>
  </si>
  <si>
    <t>Gepaneerde witte kaas met rozemarijn</t>
  </si>
  <si>
    <t>https://www.hellofresh.nl/recipes/gepaneerde-witte-kaas-met-krieltjes-658d7d8df9d1ffb514ddb5cc</t>
  </si>
  <si>
    <t>ShrimpOrzo</t>
  </si>
  <si>
    <t>TeriyakiFishfilet</t>
  </si>
  <si>
    <t>HähnchenbrustAprikosen</t>
  </si>
  <si>
    <t>https://www.hellofresh.nl/recipes/krokante-garnalen-met-kokosrijst-6661c3ce5fb32512350b4fc3</t>
  </si>
  <si>
    <t>https://www.hellofresh.nl/recipes/krokante-garnalen-met-kokosrijst-6661c3ce5fb32512350b4fc4</t>
  </si>
  <si>
    <t>https://www.hellofresh.nl/recipes/krokante-garnalen-met-kokosrijst-6661c3ce5fb32512350b4fc5</t>
  </si>
  <si>
    <t>https://www.hellofresh.nl/recipes/krokante-garnalen-met-kokosrijst-6661c3ce5fb32512350b4fc6</t>
  </si>
  <si>
    <t>https://www.hellofresh.nl/recipes/krokante-garnalen-met-kokosrijst-6661c3ce5fb32512350b4fc7</t>
  </si>
  <si>
    <t>https://www.hellofresh.nl/recipes/krokante-garnalen-met-kokosrijst-6661c3ce5fb32512350b4fc8</t>
  </si>
  <si>
    <t>https://www.hellofresh.nl/recipes/krokante-garnalen-met-kokosrijst-6661c3ce5fb32512350b4fc9</t>
  </si>
  <si>
    <t>https://www.hellofresh.nl/recipes/krokante-garnalen-met-kokosrijst-6661c3ce5fb32512350b4fc10</t>
  </si>
  <si>
    <t>https://www.hellofresh.nl/recipes/noedels-met-kipgehakt-en-aziatische-saus-5fd0c5b7943827314d7b7d76</t>
  </si>
  <si>
    <t>https://www.hellofresh.nl/recipes/noedels-met-kipgehakt-en-aziatische-saus-5fd0c5b7943827314d7b7d77</t>
  </si>
  <si>
    <t>https://www.hellofresh.nl/recipes/noedels-met-kipgehakt-en-aziatische-saus-5fd0c5b7943827314d7b7d78</t>
  </si>
  <si>
    <t>https://www.hellofresh.nl/recipes/noedels-met-kipgehakt-en-aziatische-saus-5fd0c5b7943827314d7b7d79</t>
  </si>
  <si>
    <t>https://www.hellofresh.nl/recipes/noedels-met-kipgehakt-en-aziatische-saus-5fd0c5b7943827314d7b7d80</t>
  </si>
  <si>
    <t>https://www.hellofresh.nl/recipes/noedels-met-kipgehakt-en-aziatische-saus-5fd0c5b7943827314d7b7d81</t>
  </si>
  <si>
    <t>https://www.hellofresh.nl/recipes/noedels-met-kipgehakt-en-aziatische-saus-5fd0c5b7943827314d7b7d82</t>
  </si>
  <si>
    <t>https://www.hellofresh.nl/recipes/noedels-met-kipgehakt-en-aziatische-saus-5fd0c5b7943827314d7b7d83</t>
  </si>
  <si>
    <t>Recipe Name (ENG)</t>
  </si>
  <si>
    <t>Noodles with minced chicken and Asian sauce</t>
  </si>
  <si>
    <t>Whole wheat penne with red pesto tomato sauce</t>
  </si>
  <si>
    <t>Crispy shrimps with sweet and spicy sauce</t>
  </si>
  <si>
    <t>Prawns in Mediterranean marinade on orzo</t>
  </si>
  <si>
    <t>Teriyaki fish fillet on ginger-sweet potato mash
with spicy cucumber salad</t>
  </si>
  <si>
    <t>One-tray chicken breast in apricot marinade
with Brussels sprouts, sweet potato and gochujang mayo dip</t>
  </si>
  <si>
    <t>Orzo with roasted vegetables and whole wheat garlic bread</t>
  </si>
  <si>
    <t>Potato stir-fry with fried egg and mushrooms</t>
  </si>
  <si>
    <t>Breaded white cheese with rosemary</t>
  </si>
  <si>
    <t>google translated name</t>
  </si>
  <si>
    <t>Nina_Day3_Lentil3_50.jpg</t>
  </si>
  <si>
    <t>PhotoName</t>
  </si>
  <si>
    <t>Erica_Aardappelroerbak_1_1.jpg</t>
  </si>
  <si>
    <t>Erica_Kaas_1_1.jpg</t>
  </si>
  <si>
    <t>Erica_Kaas_2_2.jpg</t>
  </si>
  <si>
    <t>Erica_Kaas_3_3.jpg</t>
  </si>
  <si>
    <t>Nina_Day3_Lentil1_50.jpg</t>
  </si>
  <si>
    <t>Nina_Day3_Lentil1_30.jpg</t>
  </si>
  <si>
    <t>Nina_Day3_Lentil1_0.jpg</t>
  </si>
  <si>
    <t>Nina_Day3_Lentil2_50.jpg</t>
  </si>
  <si>
    <t>Nina_Day3_Lentil3_0.jpg</t>
  </si>
  <si>
    <t>Nina_Day3_Lentil3_30.jpg</t>
  </si>
  <si>
    <t>Erica_Aardappelroerbak_1_2.jpg</t>
  </si>
  <si>
    <t>Erica_Aardappelroerbak_1_3.jpg</t>
  </si>
  <si>
    <t>Erica_Kaas_1_2.jpg</t>
  </si>
  <si>
    <t>Erica_Aardappelroerbak_2_1.jpg</t>
  </si>
  <si>
    <t>Erica_Aardappelroerbak_2_2.jpg</t>
  </si>
  <si>
    <t>Erica_Aardappelroerbak_2_3.jpg</t>
  </si>
  <si>
    <t>Erica_Aardappelroerbak_3_1.jpg</t>
  </si>
  <si>
    <t>Erica_Aardappelroerbak_3_2.jpg</t>
  </si>
  <si>
    <t>Erica_Aardappelroerbak_3_3.jpg</t>
  </si>
  <si>
    <t>Erica_Kaas_1_3.jpg</t>
  </si>
  <si>
    <t>Erica_Kaas_2_3.jpg</t>
  </si>
  <si>
    <t>Erica_Kaas_3_2.jpg</t>
  </si>
  <si>
    <t>Erica_Kaas_2_1.jpg</t>
  </si>
  <si>
    <t>Erica_Kaas_3_1.jpg</t>
  </si>
  <si>
    <t>Erica_OrzoGroente_1_1.jpg</t>
  </si>
  <si>
    <t>Erica_OrzoGroente_1_2.jpg</t>
  </si>
  <si>
    <t>Erica_OrzoGroente_2_2.jpg</t>
  </si>
  <si>
    <t>Erica_OrzoGroente_1_3.jpg</t>
  </si>
  <si>
    <t>Erica_OrzoGroente_2_3.jpg</t>
  </si>
  <si>
    <t>Meike_Thu_RiceShrimps_Pers1_Moment1.jpg</t>
  </si>
  <si>
    <t>Meike_Thu_RiceShrimps_Pers2_Moment1.jpg</t>
  </si>
  <si>
    <t>Meike_Thu_RiceShrimps_Pers3_Moment1.jpg</t>
  </si>
  <si>
    <t>Meike_Thu_RiceShrimps_Pers1_Moment2.jpg</t>
  </si>
  <si>
    <t>Meike_Thu_RiceShrimps_Pers2_Moment2.jpg</t>
  </si>
  <si>
    <t>Meike_Thu_RiceShrimps_Pers3_Moment2.jpg</t>
  </si>
  <si>
    <t>Meike_Thu_RiceShrimps_Pers1_Moment3.jpg</t>
  </si>
  <si>
    <t>Meike_Thu_RiceShrimps_Pers2_Moment3.jpg</t>
  </si>
  <si>
    <t>Meike_Thu_RiceShrimps_Pers3_Moment3.jpg</t>
  </si>
  <si>
    <t>Meike_Tue_NoodlesChicken_Pers1_Moment1.jpg</t>
  </si>
  <si>
    <t>Meike_Tue_NoodlesChicken_Pers2_Moment1.jpg</t>
  </si>
  <si>
    <t>Meike_Tue_NoodlesChicken_Pers3_Moment1.jpg</t>
  </si>
  <si>
    <t>Meike_Tue_NoodlesChicken_Pers1_Moment2.jpg</t>
  </si>
  <si>
    <t>Meike_Tue_NoodlesChicken_Pers2_Moment2.jpg</t>
  </si>
  <si>
    <t>Meike_Tue_NoodlesChicken_Pers3_Moment2.jpg</t>
  </si>
  <si>
    <t>Meike_Tue_NoodlesChicken_Pers1_Moment3.jpg</t>
  </si>
  <si>
    <t>Meike_Tue_NoodlesChicken_Pers2_Moment3.jpg</t>
  </si>
  <si>
    <t>Meike_Tue_NoodlesChicken_Pers3_Moment3.jpg</t>
  </si>
  <si>
    <t>Meike_Wed_PastaVeggie_Pers1_Moment1.jpg</t>
  </si>
  <si>
    <t>Meike_Wed_PastaVeggie_Pers2_Moment1.jpg</t>
  </si>
  <si>
    <t>Meike_Wed_PastaVeggie_Pers3_Moment1.jpg</t>
  </si>
  <si>
    <t>Meike_Wed_PastaVeggie_Pers1_Moment2.jpg</t>
  </si>
  <si>
    <t>Meike_Wed_PastaVeggie_Pers2_Moment2.jpg</t>
  </si>
  <si>
    <t>Meike_Wed_PastaVeggie_Pers3_Moment2.jpg</t>
  </si>
  <si>
    <t>Meike_Wed_PastaVeggie_Pers1_Moment3.jpg</t>
  </si>
  <si>
    <t>Meike_Wed_PastaVeggie_Pers2_Moment3.jpg</t>
  </si>
  <si>
    <t>Meike_Wed_PastaVeggie_Pers3_Moment3.jpg</t>
  </si>
  <si>
    <t>Erica_OrzoGroente_2_1.jpg</t>
  </si>
  <si>
    <t>Nina_Day1_Chicken1_0.jpg</t>
  </si>
  <si>
    <t>Nina_Day1_Chicken1_30.jpg</t>
  </si>
  <si>
    <t>Nina_Day1_Chicken1_50.jpg</t>
  </si>
  <si>
    <t>Nina_Day1_Chicken2_50.jpg</t>
  </si>
  <si>
    <t>Nina_Day1_Chicken3_50.jpg</t>
  </si>
  <si>
    <t>Nina_Day1_Chicken4_50.jpg</t>
  </si>
  <si>
    <t>Nina_Day1_Chicken2_30.jpg</t>
  </si>
  <si>
    <t>Nina_Day1_Chicken2_0.jpg</t>
  </si>
  <si>
    <t>Nina_Day1_Chicken4_30.jpg</t>
  </si>
  <si>
    <t>Nina_Day1_Chicken4_0.jpg</t>
  </si>
  <si>
    <t>Nina_Day2_fish1_0.jpg</t>
  </si>
  <si>
    <t>Nina_Day2_fish1_30.jpg</t>
  </si>
  <si>
    <t>Nina_Day2_fish1_50.jpg</t>
  </si>
  <si>
    <t>Nina_Day2_fish2_50.jpg</t>
  </si>
  <si>
    <t>Nina_Day2_fish3_0.jpg</t>
  </si>
  <si>
    <t>Nina_Day2_fish3_30.jpg</t>
  </si>
  <si>
    <t>Nina_Day2_fish3_50.jpg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</si>
</sst>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wrapText="1"/>
    </xf>
    <xf numFmtId="2" fontId="1" fillId="2" borderId="1" xfId="0" applyNumberFormat="1" applyFont="1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 applyAlignment="1">
      <alignment wrapText="1"/>
    </xf>
    <xf numFmtId="2" fontId="1" fillId="3" borderId="1" xfId="0" applyNumberFormat="1" applyFont="1" applyFill="1" applyBorder="1" applyAlignment="1">
      <alignment wrapText="1"/>
    </xf>
    <xf numFmtId="0" fontId="0" fillId="3" borderId="1" xfId="0" applyFill="1" applyBorder="1"/>
    <xf numFmtId="0" fontId="1" fillId="4" borderId="1" xfId="0" applyFont="1" applyFill="1" applyBorder="1" applyAlignment="1">
      <alignment wrapText="1"/>
    </xf>
    <xf numFmtId="14" fontId="1" fillId="4" borderId="1" xfId="0" applyNumberFormat="1" applyFont="1" applyFill="1" applyBorder="1" applyAlignment="1">
      <alignment wrapText="1"/>
    </xf>
    <xf numFmtId="0" fontId="0" fillId="4" borderId="1" xfId="0" applyFill="1" applyBorder="1"/>
    <xf numFmtId="0" fontId="4" fillId="4" borderId="1" xfId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14" fontId="0" fillId="4" borderId="1" xfId="0" applyNumberFormat="1" applyFill="1" applyBorder="1"/>
    <xf numFmtId="0" fontId="0" fillId="4" borderId="1" xfId="0" applyFill="1" applyBorder="1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ellofresh.de/recipes/garnelen-in-mediterraner-marinade-auf-orzo-salat-65b24289d1da3988cdd86720" TargetMode="External"/><Relationship Id="rId1" Type="http://schemas.openxmlformats.org/officeDocument/2006/relationships/hyperlink" Target="https://www.hellofresh.de/recipes/garnelen-in-mediterraner-marinade-auf-orzo-salat-65b24289d1da3988cdd86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ADE5-A1C3-41C1-BDE9-95272D7A4850}">
  <dimension ref="A1:M95"/>
  <sheetViews>
    <sheetView tabSelected="1" workbookViewId="0">
      <pane ySplit="1" topLeftCell="A80" activePane="bottomLeft" state="frozen"/>
      <selection activeCell="C1" sqref="C1"/>
      <selection pane="bottomLeft" activeCell="A86" sqref="A86:XFD87"/>
    </sheetView>
  </sheetViews>
  <sheetFormatPr defaultRowHeight="15" x14ac:dyDescent="0.25"/>
  <cols>
    <col min="1" max="1" width="17.5703125" customWidth="1"/>
    <col min="2" max="2" width="16" customWidth="1"/>
    <col min="3" max="12" width="17.5703125" customWidth="1"/>
    <col min="13" max="36" width="10.85546875" customWidth="1"/>
  </cols>
  <sheetData>
    <row r="1" spans="1:13" s="2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129</v>
      </c>
      <c r="L1" s="2" t="s">
        <v>10</v>
      </c>
      <c r="M1" s="2" t="s">
        <v>141</v>
      </c>
    </row>
    <row r="2" spans="1:13" s="1" customFormat="1" ht="111" customHeigh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139</v>
      </c>
      <c r="L2" s="1" t="s">
        <v>21</v>
      </c>
    </row>
    <row r="3" spans="1:13" s="1" customFormat="1" ht="81" x14ac:dyDescent="0.25">
      <c r="A3" s="3" t="s">
        <v>22</v>
      </c>
      <c r="B3" s="3" t="s">
        <v>23</v>
      </c>
      <c r="C3" s="3" t="s">
        <v>24</v>
      </c>
      <c r="D3" s="3">
        <v>1</v>
      </c>
      <c r="E3">
        <v>50</v>
      </c>
      <c r="F3" s="3">
        <v>25</v>
      </c>
      <c r="G3" s="3">
        <v>584</v>
      </c>
      <c r="H3" s="3">
        <v>847</v>
      </c>
      <c r="I3">
        <f>H3-G3</f>
        <v>263</v>
      </c>
      <c r="J3" s="3" t="s">
        <v>25</v>
      </c>
      <c r="K3" s="3" t="s">
        <v>130</v>
      </c>
      <c r="L3" s="3" t="s">
        <v>26</v>
      </c>
      <c r="M3" s="25" t="s">
        <v>180</v>
      </c>
    </row>
    <row r="4" spans="1:13" ht="81" x14ac:dyDescent="0.25">
      <c r="A4" s="3" t="s">
        <v>22</v>
      </c>
      <c r="B4" s="3" t="s">
        <v>23</v>
      </c>
      <c r="C4" s="3" t="s">
        <v>24</v>
      </c>
      <c r="D4">
        <v>2</v>
      </c>
      <c r="E4">
        <v>50</v>
      </c>
      <c r="F4" s="3">
        <v>25</v>
      </c>
      <c r="G4">
        <v>567</v>
      </c>
      <c r="H4">
        <v>960</v>
      </c>
      <c r="I4">
        <f t="shared" ref="I4:I29" si="0">H4-G4</f>
        <v>393</v>
      </c>
      <c r="J4" s="3" t="s">
        <v>25</v>
      </c>
      <c r="K4" s="3" t="s">
        <v>130</v>
      </c>
      <c r="L4" s="3" t="s">
        <v>121</v>
      </c>
      <c r="M4" t="s">
        <v>181</v>
      </c>
    </row>
    <row r="5" spans="1:13" ht="81" x14ac:dyDescent="0.25">
      <c r="A5" s="3" t="s">
        <v>22</v>
      </c>
      <c r="B5" s="3" t="s">
        <v>23</v>
      </c>
      <c r="C5" s="3" t="s">
        <v>24</v>
      </c>
      <c r="D5">
        <v>3</v>
      </c>
      <c r="E5">
        <v>40</v>
      </c>
      <c r="F5" s="3">
        <v>25</v>
      </c>
      <c r="G5">
        <v>634</v>
      </c>
      <c r="H5" s="3">
        <v>926</v>
      </c>
      <c r="I5">
        <f t="shared" si="0"/>
        <v>292</v>
      </c>
      <c r="J5" s="3" t="s">
        <v>25</v>
      </c>
      <c r="K5" s="3" t="s">
        <v>130</v>
      </c>
      <c r="L5" s="3" t="s">
        <v>122</v>
      </c>
      <c r="M5" t="s">
        <v>182</v>
      </c>
    </row>
    <row r="6" spans="1:13" ht="81" x14ac:dyDescent="0.25">
      <c r="A6" s="3" t="s">
        <v>22</v>
      </c>
      <c r="B6" s="3" t="s">
        <v>23</v>
      </c>
      <c r="C6" s="3" t="s">
        <v>24</v>
      </c>
      <c r="D6" s="3">
        <v>1</v>
      </c>
      <c r="E6" s="3">
        <v>20</v>
      </c>
      <c r="F6" s="3">
        <v>25</v>
      </c>
      <c r="G6" s="3">
        <v>584</v>
      </c>
      <c r="H6" s="3">
        <v>771</v>
      </c>
      <c r="I6">
        <f t="shared" si="0"/>
        <v>187</v>
      </c>
      <c r="J6" s="3" t="s">
        <v>25</v>
      </c>
      <c r="K6" s="3" t="s">
        <v>130</v>
      </c>
      <c r="L6" s="3" t="s">
        <v>123</v>
      </c>
      <c r="M6" s="25" t="s">
        <v>183</v>
      </c>
    </row>
    <row r="7" spans="1:13" ht="81" x14ac:dyDescent="0.25">
      <c r="A7" s="3" t="s">
        <v>22</v>
      </c>
      <c r="B7" s="3" t="s">
        <v>23</v>
      </c>
      <c r="C7" s="3" t="s">
        <v>24</v>
      </c>
      <c r="D7">
        <v>2</v>
      </c>
      <c r="E7">
        <v>30</v>
      </c>
      <c r="F7" s="3">
        <v>25</v>
      </c>
      <c r="G7">
        <v>567</v>
      </c>
      <c r="H7">
        <v>884</v>
      </c>
      <c r="I7">
        <f t="shared" si="0"/>
        <v>317</v>
      </c>
      <c r="J7" s="3" t="s">
        <v>25</v>
      </c>
      <c r="K7" s="3" t="s">
        <v>130</v>
      </c>
      <c r="L7" s="3" t="s">
        <v>124</v>
      </c>
      <c r="M7" t="s">
        <v>184</v>
      </c>
    </row>
    <row r="8" spans="1:13" ht="81" x14ac:dyDescent="0.25">
      <c r="A8" s="3" t="s">
        <v>22</v>
      </c>
      <c r="B8" s="3" t="s">
        <v>23</v>
      </c>
      <c r="C8" s="3" t="s">
        <v>24</v>
      </c>
      <c r="D8">
        <v>3</v>
      </c>
      <c r="E8">
        <v>20</v>
      </c>
      <c r="F8" s="3">
        <v>25</v>
      </c>
      <c r="G8">
        <v>634</v>
      </c>
      <c r="H8" s="3">
        <v>866</v>
      </c>
      <c r="I8">
        <f t="shared" si="0"/>
        <v>232</v>
      </c>
      <c r="J8" s="3" t="s">
        <v>25</v>
      </c>
      <c r="K8" s="3" t="s">
        <v>130</v>
      </c>
      <c r="L8" s="3" t="s">
        <v>125</v>
      </c>
      <c r="M8" t="s">
        <v>185</v>
      </c>
    </row>
    <row r="9" spans="1:13" ht="81" x14ac:dyDescent="0.25">
      <c r="A9" s="3" t="s">
        <v>22</v>
      </c>
      <c r="B9" s="3" t="s">
        <v>23</v>
      </c>
      <c r="C9" s="3" t="s">
        <v>24</v>
      </c>
      <c r="D9" s="3">
        <v>1</v>
      </c>
      <c r="E9" s="3" t="s">
        <v>27</v>
      </c>
      <c r="F9" s="3">
        <v>25</v>
      </c>
      <c r="G9" s="3">
        <v>584</v>
      </c>
      <c r="H9" s="3">
        <v>587</v>
      </c>
      <c r="I9">
        <f t="shared" si="0"/>
        <v>3</v>
      </c>
      <c r="J9" s="3" t="s">
        <v>25</v>
      </c>
      <c r="K9" s="3" t="s">
        <v>130</v>
      </c>
      <c r="L9" s="3" t="s">
        <v>126</v>
      </c>
      <c r="M9" s="25" t="s">
        <v>186</v>
      </c>
    </row>
    <row r="10" spans="1:13" ht="81" x14ac:dyDescent="0.25">
      <c r="A10" s="3" t="s">
        <v>22</v>
      </c>
      <c r="B10" s="3" t="s">
        <v>23</v>
      </c>
      <c r="C10" s="3" t="s">
        <v>24</v>
      </c>
      <c r="D10">
        <v>2</v>
      </c>
      <c r="E10" s="3" t="s">
        <v>27</v>
      </c>
      <c r="F10" s="3">
        <v>25</v>
      </c>
      <c r="G10">
        <v>567</v>
      </c>
      <c r="H10" s="3">
        <v>792</v>
      </c>
      <c r="I10">
        <f t="shared" si="0"/>
        <v>225</v>
      </c>
      <c r="J10" s="3" t="s">
        <v>25</v>
      </c>
      <c r="K10" s="3" t="s">
        <v>130</v>
      </c>
      <c r="L10" s="3" t="s">
        <v>127</v>
      </c>
      <c r="M10" t="s">
        <v>187</v>
      </c>
    </row>
    <row r="11" spans="1:13" ht="81" x14ac:dyDescent="0.25">
      <c r="A11" s="3" t="s">
        <v>22</v>
      </c>
      <c r="B11" s="3" t="s">
        <v>23</v>
      </c>
      <c r="C11" s="3" t="s">
        <v>24</v>
      </c>
      <c r="D11">
        <v>3</v>
      </c>
      <c r="E11" s="3" t="s">
        <v>27</v>
      </c>
      <c r="F11" s="3">
        <v>25</v>
      </c>
      <c r="G11">
        <v>634</v>
      </c>
      <c r="H11" s="3">
        <v>718</v>
      </c>
      <c r="I11">
        <f t="shared" si="0"/>
        <v>84</v>
      </c>
      <c r="J11" s="3" t="s">
        <v>25</v>
      </c>
      <c r="K11" s="3" t="s">
        <v>130</v>
      </c>
      <c r="L11" s="3" t="s">
        <v>128</v>
      </c>
      <c r="M11" t="s">
        <v>188</v>
      </c>
    </row>
    <row r="12" spans="1:13" x14ac:dyDescent="0.25">
      <c r="A12" s="3" t="s">
        <v>22</v>
      </c>
      <c r="B12" s="3" t="s">
        <v>28</v>
      </c>
      <c r="C12" s="3" t="s">
        <v>29</v>
      </c>
      <c r="D12" s="3">
        <v>1</v>
      </c>
      <c r="E12">
        <v>50</v>
      </c>
      <c r="F12" s="3">
        <v>25</v>
      </c>
      <c r="G12">
        <v>574</v>
      </c>
      <c r="H12" s="3">
        <v>899</v>
      </c>
      <c r="I12">
        <f t="shared" si="0"/>
        <v>325</v>
      </c>
      <c r="J12" t="s">
        <v>30</v>
      </c>
      <c r="K12" t="s">
        <v>131</v>
      </c>
      <c r="L12" t="s">
        <v>31</v>
      </c>
      <c r="M12" t="s">
        <v>189</v>
      </c>
    </row>
    <row r="13" spans="1:13" x14ac:dyDescent="0.25">
      <c r="A13" s="3" t="s">
        <v>22</v>
      </c>
      <c r="B13" s="3" t="s">
        <v>28</v>
      </c>
      <c r="C13" s="3" t="s">
        <v>29</v>
      </c>
      <c r="D13">
        <v>2</v>
      </c>
      <c r="E13">
        <v>50</v>
      </c>
      <c r="F13" s="3">
        <v>25</v>
      </c>
      <c r="G13">
        <v>616</v>
      </c>
      <c r="H13" s="3">
        <v>947</v>
      </c>
      <c r="I13">
        <f t="shared" si="0"/>
        <v>331</v>
      </c>
      <c r="J13" t="s">
        <v>30</v>
      </c>
      <c r="K13" t="s">
        <v>131</v>
      </c>
      <c r="L13" t="s">
        <v>31</v>
      </c>
      <c r="M13" t="s">
        <v>190</v>
      </c>
    </row>
    <row r="14" spans="1:13" x14ac:dyDescent="0.25">
      <c r="A14" s="3" t="s">
        <v>22</v>
      </c>
      <c r="B14" s="3" t="s">
        <v>28</v>
      </c>
      <c r="C14" s="3" t="s">
        <v>29</v>
      </c>
      <c r="D14">
        <v>3</v>
      </c>
      <c r="E14">
        <v>50</v>
      </c>
      <c r="F14" s="3">
        <v>25</v>
      </c>
      <c r="G14">
        <v>598</v>
      </c>
      <c r="H14" s="3">
        <v>904</v>
      </c>
      <c r="I14">
        <f t="shared" si="0"/>
        <v>306</v>
      </c>
      <c r="J14" t="s">
        <v>30</v>
      </c>
      <c r="K14" t="s">
        <v>131</v>
      </c>
      <c r="L14" t="s">
        <v>31</v>
      </c>
      <c r="M14" t="s">
        <v>191</v>
      </c>
    </row>
    <row r="15" spans="1:13" x14ac:dyDescent="0.25">
      <c r="A15" s="3" t="s">
        <v>22</v>
      </c>
      <c r="B15" s="3" t="s">
        <v>28</v>
      </c>
      <c r="C15" s="3" t="s">
        <v>29</v>
      </c>
      <c r="D15" s="3">
        <v>1</v>
      </c>
      <c r="E15" s="3">
        <v>10</v>
      </c>
      <c r="F15" s="3">
        <v>25</v>
      </c>
      <c r="G15">
        <v>574</v>
      </c>
      <c r="H15" s="3">
        <v>680</v>
      </c>
      <c r="I15">
        <f t="shared" si="0"/>
        <v>106</v>
      </c>
      <c r="J15" t="s">
        <v>30</v>
      </c>
      <c r="K15" t="s">
        <v>131</v>
      </c>
      <c r="L15" t="s">
        <v>31</v>
      </c>
      <c r="M15" t="s">
        <v>192</v>
      </c>
    </row>
    <row r="16" spans="1:13" x14ac:dyDescent="0.25">
      <c r="A16" s="3" t="s">
        <v>22</v>
      </c>
      <c r="B16" s="3" t="s">
        <v>28</v>
      </c>
      <c r="C16" s="3" t="s">
        <v>29</v>
      </c>
      <c r="D16">
        <v>2</v>
      </c>
      <c r="E16">
        <v>10</v>
      </c>
      <c r="F16" s="3">
        <v>25</v>
      </c>
      <c r="G16">
        <v>616</v>
      </c>
      <c r="H16" s="3">
        <v>749</v>
      </c>
      <c r="I16">
        <f t="shared" si="0"/>
        <v>133</v>
      </c>
      <c r="J16" t="s">
        <v>30</v>
      </c>
      <c r="K16" t="s">
        <v>131</v>
      </c>
      <c r="L16" t="s">
        <v>31</v>
      </c>
      <c r="M16" t="s">
        <v>193</v>
      </c>
    </row>
    <row r="17" spans="1:13" x14ac:dyDescent="0.25">
      <c r="A17" s="3" t="s">
        <v>22</v>
      </c>
      <c r="B17" s="3" t="s">
        <v>28</v>
      </c>
      <c r="C17" s="3" t="s">
        <v>29</v>
      </c>
      <c r="D17">
        <v>3</v>
      </c>
      <c r="E17">
        <v>10</v>
      </c>
      <c r="F17" s="3">
        <v>25</v>
      </c>
      <c r="G17">
        <v>598</v>
      </c>
      <c r="H17" s="3">
        <v>745</v>
      </c>
      <c r="I17">
        <f t="shared" si="0"/>
        <v>147</v>
      </c>
      <c r="J17" t="s">
        <v>30</v>
      </c>
      <c r="K17" t="s">
        <v>131</v>
      </c>
      <c r="L17" t="s">
        <v>31</v>
      </c>
      <c r="M17" t="s">
        <v>194</v>
      </c>
    </row>
    <row r="18" spans="1:13" x14ac:dyDescent="0.25">
      <c r="A18" s="3" t="s">
        <v>22</v>
      </c>
      <c r="B18" s="3" t="s">
        <v>28</v>
      </c>
      <c r="C18" s="3" t="s">
        <v>29</v>
      </c>
      <c r="D18" s="3">
        <v>1</v>
      </c>
      <c r="E18" s="3" t="s">
        <v>27</v>
      </c>
      <c r="F18" s="3">
        <v>25</v>
      </c>
      <c r="G18">
        <v>574</v>
      </c>
      <c r="H18" s="3">
        <v>580</v>
      </c>
      <c r="I18">
        <f t="shared" si="0"/>
        <v>6</v>
      </c>
      <c r="J18" t="s">
        <v>30</v>
      </c>
      <c r="K18" t="s">
        <v>131</v>
      </c>
      <c r="L18" t="s">
        <v>31</v>
      </c>
      <c r="M18" t="s">
        <v>195</v>
      </c>
    </row>
    <row r="19" spans="1:13" x14ac:dyDescent="0.25">
      <c r="A19" s="3" t="s">
        <v>22</v>
      </c>
      <c r="B19" s="3" t="s">
        <v>28</v>
      </c>
      <c r="C19" s="3" t="s">
        <v>29</v>
      </c>
      <c r="D19">
        <v>2</v>
      </c>
      <c r="E19" s="3" t="s">
        <v>27</v>
      </c>
      <c r="F19" s="3">
        <v>25</v>
      </c>
      <c r="G19">
        <v>616</v>
      </c>
      <c r="H19" s="3">
        <v>631</v>
      </c>
      <c r="I19">
        <f t="shared" si="0"/>
        <v>15</v>
      </c>
      <c r="J19" t="s">
        <v>30</v>
      </c>
      <c r="K19" t="s">
        <v>131</v>
      </c>
      <c r="L19" t="s">
        <v>31</v>
      </c>
      <c r="M19" t="s">
        <v>196</v>
      </c>
    </row>
    <row r="20" spans="1:13" x14ac:dyDescent="0.25">
      <c r="A20" s="3" t="s">
        <v>22</v>
      </c>
      <c r="B20" s="3" t="s">
        <v>28</v>
      </c>
      <c r="C20" s="3" t="s">
        <v>29</v>
      </c>
      <c r="D20">
        <v>3</v>
      </c>
      <c r="E20" s="3" t="s">
        <v>27</v>
      </c>
      <c r="F20" s="3">
        <v>25</v>
      </c>
      <c r="G20">
        <v>598</v>
      </c>
      <c r="H20" s="3">
        <v>624</v>
      </c>
      <c r="I20">
        <f t="shared" si="0"/>
        <v>26</v>
      </c>
      <c r="J20" t="s">
        <v>30</v>
      </c>
      <c r="K20" t="s">
        <v>131</v>
      </c>
      <c r="L20" t="s">
        <v>31</v>
      </c>
      <c r="M20" t="s">
        <v>197</v>
      </c>
    </row>
    <row r="21" spans="1:13" x14ac:dyDescent="0.25">
      <c r="A21" s="3" t="s">
        <v>22</v>
      </c>
      <c r="B21" s="3" t="s">
        <v>32</v>
      </c>
      <c r="C21" s="3" t="s">
        <v>33</v>
      </c>
      <c r="D21" s="3">
        <v>1</v>
      </c>
      <c r="E21">
        <v>50</v>
      </c>
      <c r="F21" s="3">
        <v>25</v>
      </c>
      <c r="G21">
        <v>598</v>
      </c>
      <c r="H21" s="3">
        <v>796</v>
      </c>
      <c r="I21">
        <f t="shared" si="0"/>
        <v>198</v>
      </c>
      <c r="J21" t="s">
        <v>34</v>
      </c>
      <c r="K21" t="s">
        <v>132</v>
      </c>
      <c r="L21" t="s">
        <v>35</v>
      </c>
      <c r="M21" t="s">
        <v>171</v>
      </c>
    </row>
    <row r="22" spans="1:13" x14ac:dyDescent="0.25">
      <c r="A22" s="3" t="s">
        <v>22</v>
      </c>
      <c r="B22" s="3" t="s">
        <v>32</v>
      </c>
      <c r="C22" s="3" t="s">
        <v>33</v>
      </c>
      <c r="D22">
        <v>2</v>
      </c>
      <c r="E22">
        <v>50</v>
      </c>
      <c r="F22" s="3">
        <v>25</v>
      </c>
      <c r="G22">
        <v>575</v>
      </c>
      <c r="H22" s="3">
        <v>1011</v>
      </c>
      <c r="I22">
        <f t="shared" si="0"/>
        <v>436</v>
      </c>
      <c r="J22" t="s">
        <v>34</v>
      </c>
      <c r="K22" t="s">
        <v>132</v>
      </c>
      <c r="L22" t="s">
        <v>113</v>
      </c>
      <c r="M22" t="s">
        <v>172</v>
      </c>
    </row>
    <row r="23" spans="1:13" x14ac:dyDescent="0.25">
      <c r="A23" s="3" t="s">
        <v>22</v>
      </c>
      <c r="B23" s="3" t="s">
        <v>32</v>
      </c>
      <c r="C23" s="3" t="s">
        <v>33</v>
      </c>
      <c r="D23">
        <v>3</v>
      </c>
      <c r="E23">
        <v>50</v>
      </c>
      <c r="F23" s="3">
        <v>25</v>
      </c>
      <c r="G23">
        <v>618</v>
      </c>
      <c r="H23" s="3">
        <v>814</v>
      </c>
      <c r="I23">
        <f t="shared" si="0"/>
        <v>196</v>
      </c>
      <c r="J23" t="s">
        <v>34</v>
      </c>
      <c r="K23" t="s">
        <v>132</v>
      </c>
      <c r="L23" t="s">
        <v>114</v>
      </c>
      <c r="M23" t="s">
        <v>173</v>
      </c>
    </row>
    <row r="24" spans="1:13" x14ac:dyDescent="0.25">
      <c r="A24" s="3" t="s">
        <v>22</v>
      </c>
      <c r="B24" s="3" t="s">
        <v>32</v>
      </c>
      <c r="C24" s="3" t="s">
        <v>33</v>
      </c>
      <c r="D24" s="3">
        <v>1</v>
      </c>
      <c r="E24" s="3">
        <v>10</v>
      </c>
      <c r="F24" s="3">
        <v>25</v>
      </c>
      <c r="G24">
        <v>598</v>
      </c>
      <c r="H24" s="3">
        <v>674</v>
      </c>
      <c r="I24">
        <f t="shared" si="0"/>
        <v>76</v>
      </c>
      <c r="J24" t="s">
        <v>34</v>
      </c>
      <c r="K24" t="s">
        <v>132</v>
      </c>
      <c r="L24" t="s">
        <v>115</v>
      </c>
      <c r="M24" t="s">
        <v>174</v>
      </c>
    </row>
    <row r="25" spans="1:13" x14ac:dyDescent="0.25">
      <c r="A25" s="3" t="s">
        <v>22</v>
      </c>
      <c r="B25" s="3" t="s">
        <v>32</v>
      </c>
      <c r="C25" s="3" t="s">
        <v>33</v>
      </c>
      <c r="D25">
        <v>2</v>
      </c>
      <c r="E25">
        <v>10</v>
      </c>
      <c r="F25" s="3">
        <v>25</v>
      </c>
      <c r="G25">
        <v>575</v>
      </c>
      <c r="H25" s="3">
        <v>958</v>
      </c>
      <c r="I25">
        <f t="shared" si="0"/>
        <v>383</v>
      </c>
      <c r="J25" t="s">
        <v>34</v>
      </c>
      <c r="K25" t="s">
        <v>132</v>
      </c>
      <c r="L25" t="s">
        <v>116</v>
      </c>
      <c r="M25" t="s">
        <v>175</v>
      </c>
    </row>
    <row r="26" spans="1:13" x14ac:dyDescent="0.25">
      <c r="A26" s="3" t="s">
        <v>22</v>
      </c>
      <c r="B26" s="3" t="s">
        <v>32</v>
      </c>
      <c r="C26" s="3" t="s">
        <v>33</v>
      </c>
      <c r="D26">
        <v>3</v>
      </c>
      <c r="E26">
        <v>10</v>
      </c>
      <c r="F26" s="3">
        <v>25</v>
      </c>
      <c r="G26">
        <v>618</v>
      </c>
      <c r="H26" s="3">
        <v>728</v>
      </c>
      <c r="I26">
        <f t="shared" si="0"/>
        <v>110</v>
      </c>
      <c r="J26" t="s">
        <v>34</v>
      </c>
      <c r="K26" t="s">
        <v>132</v>
      </c>
      <c r="L26" t="s">
        <v>117</v>
      </c>
      <c r="M26" t="s">
        <v>176</v>
      </c>
    </row>
    <row r="27" spans="1:13" x14ac:dyDescent="0.25">
      <c r="A27" s="3" t="s">
        <v>22</v>
      </c>
      <c r="B27" s="3" t="s">
        <v>32</v>
      </c>
      <c r="C27" s="3" t="s">
        <v>33</v>
      </c>
      <c r="D27" s="3">
        <v>1</v>
      </c>
      <c r="E27" s="3" t="s">
        <v>27</v>
      </c>
      <c r="F27" s="3">
        <v>25</v>
      </c>
      <c r="G27">
        <v>598</v>
      </c>
      <c r="H27" s="3">
        <v>599</v>
      </c>
      <c r="I27">
        <f t="shared" si="0"/>
        <v>1</v>
      </c>
      <c r="J27" t="s">
        <v>34</v>
      </c>
      <c r="K27" t="s">
        <v>132</v>
      </c>
      <c r="L27" t="s">
        <v>118</v>
      </c>
      <c r="M27" t="s">
        <v>177</v>
      </c>
    </row>
    <row r="28" spans="1:13" x14ac:dyDescent="0.25">
      <c r="A28" s="3" t="s">
        <v>22</v>
      </c>
      <c r="B28" s="3" t="s">
        <v>32</v>
      </c>
      <c r="C28" s="3" t="s">
        <v>33</v>
      </c>
      <c r="D28">
        <v>2</v>
      </c>
      <c r="E28" s="3" t="s">
        <v>27</v>
      </c>
      <c r="F28" s="3">
        <v>25</v>
      </c>
      <c r="G28">
        <v>575</v>
      </c>
      <c r="H28" s="3">
        <v>926</v>
      </c>
      <c r="I28">
        <f t="shared" si="0"/>
        <v>351</v>
      </c>
      <c r="J28" t="s">
        <v>34</v>
      </c>
      <c r="K28" t="s">
        <v>132</v>
      </c>
      <c r="L28" t="s">
        <v>119</v>
      </c>
      <c r="M28" t="s">
        <v>178</v>
      </c>
    </row>
    <row r="29" spans="1:13" x14ac:dyDescent="0.25">
      <c r="A29" s="3" t="s">
        <v>22</v>
      </c>
      <c r="B29" s="3" t="s">
        <v>32</v>
      </c>
      <c r="C29" s="3" t="s">
        <v>33</v>
      </c>
      <c r="D29">
        <v>3</v>
      </c>
      <c r="E29" s="3" t="s">
        <v>27</v>
      </c>
      <c r="F29" s="3">
        <v>25</v>
      </c>
      <c r="G29">
        <v>618</v>
      </c>
      <c r="H29" s="3">
        <v>632</v>
      </c>
      <c r="I29">
        <f t="shared" si="0"/>
        <v>14</v>
      </c>
      <c r="J29" t="s">
        <v>34</v>
      </c>
      <c r="K29" t="s">
        <v>132</v>
      </c>
      <c r="L29" t="s">
        <v>120</v>
      </c>
      <c r="M29" t="s">
        <v>179</v>
      </c>
    </row>
    <row r="30" spans="1:13" ht="120" x14ac:dyDescent="0.25">
      <c r="A30" s="16" t="s">
        <v>63</v>
      </c>
      <c r="B30" s="17">
        <v>45581</v>
      </c>
      <c r="C30" s="16" t="s">
        <v>110</v>
      </c>
      <c r="D30" s="18">
        <v>1</v>
      </c>
      <c r="E30" s="18" t="s">
        <v>64</v>
      </c>
      <c r="F30" s="16" t="s">
        <v>65</v>
      </c>
      <c r="G30" s="16">
        <v>669</v>
      </c>
      <c r="H30" s="16">
        <v>882</v>
      </c>
      <c r="I30" s="18">
        <f>H30-G30</f>
        <v>213</v>
      </c>
      <c r="J30" s="16" t="s">
        <v>66</v>
      </c>
      <c r="K30" s="16" t="s">
        <v>133</v>
      </c>
      <c r="L30" s="19" t="s">
        <v>67</v>
      </c>
      <c r="M30" s="18" t="s">
        <v>68</v>
      </c>
    </row>
    <row r="31" spans="1:13" ht="120" x14ac:dyDescent="0.25">
      <c r="A31" s="16" t="s">
        <v>63</v>
      </c>
      <c r="B31" s="17">
        <v>45581</v>
      </c>
      <c r="C31" s="16" t="s">
        <v>110</v>
      </c>
      <c r="D31" s="18">
        <v>1</v>
      </c>
      <c r="E31" s="18" t="s">
        <v>69</v>
      </c>
      <c r="F31" s="16" t="s">
        <v>65</v>
      </c>
      <c r="G31" s="16">
        <v>669</v>
      </c>
      <c r="H31" s="18">
        <v>754</v>
      </c>
      <c r="I31" s="18">
        <f t="shared" ref="I31:I71" si="1">H31-G31</f>
        <v>85</v>
      </c>
      <c r="J31" s="16" t="s">
        <v>66</v>
      </c>
      <c r="K31" s="16" t="s">
        <v>133</v>
      </c>
      <c r="L31" s="19" t="s">
        <v>70</v>
      </c>
      <c r="M31" s="18" t="s">
        <v>71</v>
      </c>
    </row>
    <row r="32" spans="1:13" ht="120" x14ac:dyDescent="0.25">
      <c r="A32" s="16" t="s">
        <v>63</v>
      </c>
      <c r="B32" s="17">
        <v>45581</v>
      </c>
      <c r="C32" s="16" t="s">
        <v>110</v>
      </c>
      <c r="D32" s="18">
        <v>1</v>
      </c>
      <c r="E32" s="18" t="s">
        <v>27</v>
      </c>
      <c r="F32" s="16" t="s">
        <v>65</v>
      </c>
      <c r="G32" s="16">
        <v>669</v>
      </c>
      <c r="H32" s="18">
        <v>674</v>
      </c>
      <c r="I32" s="18">
        <f t="shared" si="1"/>
        <v>5</v>
      </c>
      <c r="J32" s="16" t="s">
        <v>66</v>
      </c>
      <c r="K32" s="16" t="s">
        <v>133</v>
      </c>
      <c r="L32" s="19" t="s">
        <v>72</v>
      </c>
      <c r="M32" s="18" t="s">
        <v>73</v>
      </c>
    </row>
    <row r="33" spans="1:13" ht="120" x14ac:dyDescent="0.25">
      <c r="A33" s="16" t="s">
        <v>63</v>
      </c>
      <c r="B33" s="17">
        <v>45581</v>
      </c>
      <c r="C33" s="16" t="s">
        <v>110</v>
      </c>
      <c r="D33" s="18">
        <v>2</v>
      </c>
      <c r="E33" s="16" t="s">
        <v>74</v>
      </c>
      <c r="F33" s="16" t="s">
        <v>65</v>
      </c>
      <c r="G33" s="16">
        <v>668</v>
      </c>
      <c r="H33" s="18">
        <v>916</v>
      </c>
      <c r="I33" s="18">
        <f t="shared" si="1"/>
        <v>248</v>
      </c>
      <c r="J33" s="16" t="s">
        <v>66</v>
      </c>
      <c r="K33" s="16" t="s">
        <v>133</v>
      </c>
      <c r="L33" s="19" t="s">
        <v>75</v>
      </c>
      <c r="M33" s="18" t="s">
        <v>76</v>
      </c>
    </row>
    <row r="34" spans="1:13" ht="120" x14ac:dyDescent="0.25">
      <c r="A34" s="16" t="s">
        <v>63</v>
      </c>
      <c r="B34" s="17">
        <v>45581</v>
      </c>
      <c r="C34" s="16" t="s">
        <v>110</v>
      </c>
      <c r="D34" s="18">
        <v>2</v>
      </c>
      <c r="E34" s="18" t="s">
        <v>69</v>
      </c>
      <c r="F34" s="16" t="s">
        <v>65</v>
      </c>
      <c r="G34" s="16">
        <v>668</v>
      </c>
      <c r="H34" s="18">
        <v>793</v>
      </c>
      <c r="I34" s="18">
        <f t="shared" si="1"/>
        <v>125</v>
      </c>
      <c r="J34" s="16" t="s">
        <v>66</v>
      </c>
      <c r="K34" s="16" t="s">
        <v>133</v>
      </c>
      <c r="L34" s="19" t="s">
        <v>77</v>
      </c>
      <c r="M34" s="18" t="s">
        <v>78</v>
      </c>
    </row>
    <row r="35" spans="1:13" ht="120" x14ac:dyDescent="0.25">
      <c r="A35" s="16" t="s">
        <v>63</v>
      </c>
      <c r="B35" s="17">
        <v>45581</v>
      </c>
      <c r="C35" s="16" t="s">
        <v>110</v>
      </c>
      <c r="D35" s="18">
        <v>2</v>
      </c>
      <c r="E35" s="18" t="s">
        <v>27</v>
      </c>
      <c r="F35" s="16" t="s">
        <v>65</v>
      </c>
      <c r="G35" s="16">
        <v>668</v>
      </c>
      <c r="H35" s="18">
        <v>673</v>
      </c>
      <c r="I35" s="18">
        <f t="shared" si="1"/>
        <v>5</v>
      </c>
      <c r="J35" s="16" t="s">
        <v>66</v>
      </c>
      <c r="K35" s="16" t="s">
        <v>133</v>
      </c>
      <c r="L35" s="19" t="s">
        <v>79</v>
      </c>
      <c r="M35" s="18" t="s">
        <v>80</v>
      </c>
    </row>
    <row r="36" spans="1:13" ht="90" x14ac:dyDescent="0.25">
      <c r="A36" s="20" t="s">
        <v>63</v>
      </c>
      <c r="B36" s="21" t="s">
        <v>81</v>
      </c>
      <c r="C36" s="21" t="s">
        <v>111</v>
      </c>
      <c r="D36" s="21">
        <v>1</v>
      </c>
      <c r="E36" s="20" t="s">
        <v>74</v>
      </c>
      <c r="F36" s="20" t="s">
        <v>65</v>
      </c>
      <c r="G36" s="21">
        <v>683</v>
      </c>
      <c r="H36" s="21">
        <v>900</v>
      </c>
      <c r="I36" s="21">
        <f t="shared" si="1"/>
        <v>217</v>
      </c>
      <c r="J36" s="22" t="s">
        <v>82</v>
      </c>
      <c r="K36" s="22" t="s">
        <v>134</v>
      </c>
      <c r="L36" s="22" t="s">
        <v>83</v>
      </c>
      <c r="M36" s="21" t="s">
        <v>84</v>
      </c>
    </row>
    <row r="37" spans="1:13" ht="90" x14ac:dyDescent="0.25">
      <c r="A37" s="20" t="s">
        <v>63</v>
      </c>
      <c r="B37" s="21" t="s">
        <v>81</v>
      </c>
      <c r="C37" s="21" t="s">
        <v>111</v>
      </c>
      <c r="D37" s="21">
        <v>1</v>
      </c>
      <c r="E37" s="21" t="s">
        <v>69</v>
      </c>
      <c r="F37" s="20" t="s">
        <v>65</v>
      </c>
      <c r="G37" s="21">
        <v>683</v>
      </c>
      <c r="H37" s="21">
        <v>768</v>
      </c>
      <c r="I37" s="21">
        <f t="shared" si="1"/>
        <v>85</v>
      </c>
      <c r="J37" s="22" t="s">
        <v>82</v>
      </c>
      <c r="K37" s="22" t="s">
        <v>134</v>
      </c>
      <c r="L37" s="22" t="s">
        <v>83</v>
      </c>
      <c r="M37" s="21" t="s">
        <v>85</v>
      </c>
    </row>
    <row r="38" spans="1:13" ht="90" x14ac:dyDescent="0.25">
      <c r="A38" s="20" t="s">
        <v>63</v>
      </c>
      <c r="B38" s="21" t="s">
        <v>81</v>
      </c>
      <c r="C38" s="21" t="s">
        <v>111</v>
      </c>
      <c r="D38" s="21">
        <v>1</v>
      </c>
      <c r="E38" s="21" t="s">
        <v>27</v>
      </c>
      <c r="F38" s="20" t="s">
        <v>65</v>
      </c>
      <c r="G38" s="21">
        <v>683</v>
      </c>
      <c r="H38" s="21">
        <v>707</v>
      </c>
      <c r="I38" s="21">
        <f t="shared" si="1"/>
        <v>24</v>
      </c>
      <c r="J38" s="22" t="s">
        <v>82</v>
      </c>
      <c r="K38" s="22" t="s">
        <v>134</v>
      </c>
      <c r="L38" s="22" t="s">
        <v>83</v>
      </c>
      <c r="M38" s="21" t="s">
        <v>86</v>
      </c>
    </row>
    <row r="39" spans="1:13" ht="90" x14ac:dyDescent="0.25">
      <c r="A39" s="20" t="s">
        <v>63</v>
      </c>
      <c r="B39" s="21" t="s">
        <v>81</v>
      </c>
      <c r="C39" s="21" t="s">
        <v>111</v>
      </c>
      <c r="D39" s="21">
        <v>2</v>
      </c>
      <c r="E39" s="20" t="s">
        <v>74</v>
      </c>
      <c r="F39" s="20" t="s">
        <v>65</v>
      </c>
      <c r="G39" s="21">
        <v>676</v>
      </c>
      <c r="H39" s="21">
        <v>950</v>
      </c>
      <c r="I39" s="21">
        <f t="shared" si="1"/>
        <v>274</v>
      </c>
      <c r="J39" s="22" t="s">
        <v>82</v>
      </c>
      <c r="K39" s="22" t="s">
        <v>134</v>
      </c>
      <c r="L39" s="22" t="s">
        <v>83</v>
      </c>
      <c r="M39" s="21" t="s">
        <v>87</v>
      </c>
    </row>
    <row r="40" spans="1:13" ht="90" x14ac:dyDescent="0.25">
      <c r="A40" s="20" t="s">
        <v>63</v>
      </c>
      <c r="B40" s="21" t="s">
        <v>81</v>
      </c>
      <c r="C40" s="21" t="s">
        <v>111</v>
      </c>
      <c r="D40" s="21">
        <v>2</v>
      </c>
      <c r="E40" s="21" t="s">
        <v>69</v>
      </c>
      <c r="F40" s="20" t="s">
        <v>65</v>
      </c>
      <c r="G40" s="21">
        <v>676</v>
      </c>
      <c r="H40" s="21">
        <v>851</v>
      </c>
      <c r="I40" s="21">
        <f t="shared" si="1"/>
        <v>175</v>
      </c>
      <c r="J40" s="22" t="s">
        <v>82</v>
      </c>
      <c r="K40" s="22" t="s">
        <v>134</v>
      </c>
      <c r="L40" s="22" t="s">
        <v>83</v>
      </c>
      <c r="M40" s="21" t="s">
        <v>88</v>
      </c>
    </row>
    <row r="41" spans="1:13" ht="90" x14ac:dyDescent="0.25">
      <c r="A41" s="20" t="s">
        <v>63</v>
      </c>
      <c r="B41" s="21" t="s">
        <v>81</v>
      </c>
      <c r="C41" s="21" t="s">
        <v>111</v>
      </c>
      <c r="D41" s="21">
        <v>2</v>
      </c>
      <c r="E41" s="21" t="s">
        <v>27</v>
      </c>
      <c r="F41" s="20" t="s">
        <v>65</v>
      </c>
      <c r="G41" s="21">
        <v>676</v>
      </c>
      <c r="H41" s="21">
        <v>694</v>
      </c>
      <c r="I41" s="21">
        <f t="shared" si="1"/>
        <v>18</v>
      </c>
      <c r="J41" s="22" t="s">
        <v>82</v>
      </c>
      <c r="K41" s="22" t="s">
        <v>134</v>
      </c>
      <c r="L41" s="22" t="s">
        <v>83</v>
      </c>
      <c r="M41" s="21" t="s">
        <v>89</v>
      </c>
    </row>
    <row r="42" spans="1:13" ht="120" x14ac:dyDescent="0.25">
      <c r="A42" s="16" t="s">
        <v>63</v>
      </c>
      <c r="B42" s="23">
        <v>45585</v>
      </c>
      <c r="C42" s="18" t="s">
        <v>112</v>
      </c>
      <c r="D42" s="18">
        <v>1</v>
      </c>
      <c r="E42" s="16" t="s">
        <v>74</v>
      </c>
      <c r="F42" s="16" t="s">
        <v>65</v>
      </c>
      <c r="G42" s="18">
        <v>677</v>
      </c>
      <c r="H42" s="18">
        <v>851</v>
      </c>
      <c r="I42" s="18">
        <f t="shared" si="1"/>
        <v>174</v>
      </c>
      <c r="J42" s="24" t="s">
        <v>90</v>
      </c>
      <c r="K42" s="24" t="s">
        <v>135</v>
      </c>
      <c r="L42" s="24" t="s">
        <v>91</v>
      </c>
      <c r="M42" s="18" t="s">
        <v>92</v>
      </c>
    </row>
    <row r="43" spans="1:13" ht="120" x14ac:dyDescent="0.25">
      <c r="A43" s="16" t="s">
        <v>63</v>
      </c>
      <c r="B43" s="23">
        <v>45585</v>
      </c>
      <c r="C43" s="18" t="s">
        <v>112</v>
      </c>
      <c r="D43" s="18">
        <v>1</v>
      </c>
      <c r="E43" s="18" t="s">
        <v>69</v>
      </c>
      <c r="F43" s="16" t="s">
        <v>65</v>
      </c>
      <c r="G43" s="18">
        <v>677</v>
      </c>
      <c r="H43" s="18">
        <v>770</v>
      </c>
      <c r="I43" s="18">
        <f t="shared" si="1"/>
        <v>93</v>
      </c>
      <c r="J43" s="24" t="s">
        <v>90</v>
      </c>
      <c r="K43" s="24" t="s">
        <v>135</v>
      </c>
      <c r="L43" s="24" t="s">
        <v>91</v>
      </c>
      <c r="M43" s="18" t="s">
        <v>93</v>
      </c>
    </row>
    <row r="44" spans="1:13" ht="120" x14ac:dyDescent="0.25">
      <c r="A44" s="16" t="s">
        <v>63</v>
      </c>
      <c r="B44" s="23">
        <v>45585</v>
      </c>
      <c r="C44" s="18" t="s">
        <v>112</v>
      </c>
      <c r="D44" s="18">
        <v>1</v>
      </c>
      <c r="E44" s="18" t="s">
        <v>27</v>
      </c>
      <c r="F44" s="16" t="s">
        <v>65</v>
      </c>
      <c r="G44" s="18">
        <v>677</v>
      </c>
      <c r="H44" s="18">
        <v>695</v>
      </c>
      <c r="I44" s="18">
        <f t="shared" si="1"/>
        <v>18</v>
      </c>
      <c r="J44" s="24" t="s">
        <v>90</v>
      </c>
      <c r="K44" s="24" t="s">
        <v>135</v>
      </c>
      <c r="L44" s="24" t="s">
        <v>91</v>
      </c>
      <c r="M44" s="18" t="s">
        <v>94</v>
      </c>
    </row>
    <row r="45" spans="1:13" ht="120" x14ac:dyDescent="0.25">
      <c r="A45" s="16" t="s">
        <v>63</v>
      </c>
      <c r="B45" s="23">
        <v>45585</v>
      </c>
      <c r="C45" s="18" t="s">
        <v>112</v>
      </c>
      <c r="D45" s="18">
        <v>2</v>
      </c>
      <c r="E45" s="16" t="s">
        <v>74</v>
      </c>
      <c r="F45" s="16" t="s">
        <v>65</v>
      </c>
      <c r="G45" s="18">
        <v>675</v>
      </c>
      <c r="H45" s="18">
        <v>814</v>
      </c>
      <c r="I45" s="18">
        <f t="shared" si="1"/>
        <v>139</v>
      </c>
      <c r="J45" s="24" t="s">
        <v>90</v>
      </c>
      <c r="K45" s="24" t="s">
        <v>135</v>
      </c>
      <c r="L45" s="24" t="s">
        <v>91</v>
      </c>
      <c r="M45" s="18" t="s">
        <v>95</v>
      </c>
    </row>
    <row r="46" spans="1:13" ht="120" x14ac:dyDescent="0.25">
      <c r="A46" s="16" t="s">
        <v>63</v>
      </c>
      <c r="B46" s="23">
        <v>45585</v>
      </c>
      <c r="C46" s="18" t="s">
        <v>112</v>
      </c>
      <c r="D46" s="18">
        <v>2</v>
      </c>
      <c r="E46" s="18" t="s">
        <v>69</v>
      </c>
      <c r="F46" s="16" t="s">
        <v>65</v>
      </c>
      <c r="G46" s="18">
        <v>675</v>
      </c>
      <c r="H46" s="18">
        <v>754</v>
      </c>
      <c r="I46" s="18">
        <f t="shared" si="1"/>
        <v>79</v>
      </c>
      <c r="J46" s="24" t="s">
        <v>90</v>
      </c>
      <c r="K46" s="24" t="s">
        <v>135</v>
      </c>
      <c r="L46" s="24" t="s">
        <v>91</v>
      </c>
      <c r="M46" s="18" t="s">
        <v>96</v>
      </c>
    </row>
    <row r="47" spans="1:13" ht="120" x14ac:dyDescent="0.25">
      <c r="A47" s="16" t="s">
        <v>63</v>
      </c>
      <c r="B47" s="23">
        <v>45585</v>
      </c>
      <c r="C47" s="18" t="s">
        <v>112</v>
      </c>
      <c r="D47" s="18">
        <v>2</v>
      </c>
      <c r="E47" s="18" t="s">
        <v>27</v>
      </c>
      <c r="F47" s="16" t="s">
        <v>65</v>
      </c>
      <c r="G47" s="18">
        <v>675</v>
      </c>
      <c r="H47" s="18">
        <v>681</v>
      </c>
      <c r="I47" s="18">
        <f t="shared" si="1"/>
        <v>6</v>
      </c>
      <c r="J47" s="24" t="s">
        <v>90</v>
      </c>
      <c r="K47" s="24" t="s">
        <v>135</v>
      </c>
      <c r="L47" s="24" t="s">
        <v>91</v>
      </c>
      <c r="M47" s="18" t="s">
        <v>97</v>
      </c>
    </row>
    <row r="48" spans="1:13" x14ac:dyDescent="0.25">
      <c r="A48" t="s">
        <v>98</v>
      </c>
      <c r="B48" t="s">
        <v>99</v>
      </c>
      <c r="C48" t="s">
        <v>100</v>
      </c>
      <c r="D48">
        <v>1</v>
      </c>
      <c r="E48">
        <v>1</v>
      </c>
      <c r="F48">
        <v>26.7</v>
      </c>
      <c r="G48">
        <v>714</v>
      </c>
      <c r="H48">
        <v>911</v>
      </c>
      <c r="I48">
        <f t="shared" si="1"/>
        <v>197</v>
      </c>
      <c r="J48" t="s">
        <v>101</v>
      </c>
      <c r="K48" t="s">
        <v>136</v>
      </c>
      <c r="L48" t="s">
        <v>102</v>
      </c>
      <c r="M48" t="s">
        <v>166</v>
      </c>
    </row>
    <row r="49" spans="1:13" x14ac:dyDescent="0.25">
      <c r="A49" t="s">
        <v>98</v>
      </c>
      <c r="B49" t="s">
        <v>99</v>
      </c>
      <c r="C49" t="s">
        <v>100</v>
      </c>
      <c r="D49">
        <v>2</v>
      </c>
      <c r="E49">
        <v>1</v>
      </c>
      <c r="F49">
        <v>26.7</v>
      </c>
      <c r="G49">
        <v>732</v>
      </c>
      <c r="H49">
        <v>1118</v>
      </c>
      <c r="I49">
        <f t="shared" si="1"/>
        <v>386</v>
      </c>
      <c r="J49" t="s">
        <v>101</v>
      </c>
      <c r="K49" t="s">
        <v>136</v>
      </c>
      <c r="L49" t="s">
        <v>102</v>
      </c>
      <c r="M49" t="s">
        <v>198</v>
      </c>
    </row>
    <row r="50" spans="1:13" x14ac:dyDescent="0.25">
      <c r="A50" t="s">
        <v>98</v>
      </c>
      <c r="B50" t="s">
        <v>99</v>
      </c>
      <c r="C50" t="s">
        <v>100</v>
      </c>
      <c r="D50">
        <v>1</v>
      </c>
      <c r="E50">
        <v>2</v>
      </c>
      <c r="F50">
        <v>26.7</v>
      </c>
      <c r="G50">
        <v>714</v>
      </c>
      <c r="H50">
        <v>798</v>
      </c>
      <c r="I50">
        <f t="shared" si="1"/>
        <v>84</v>
      </c>
      <c r="J50" t="s">
        <v>101</v>
      </c>
      <c r="K50" t="s">
        <v>136</v>
      </c>
      <c r="L50" t="s">
        <v>102</v>
      </c>
      <c r="M50" t="s">
        <v>167</v>
      </c>
    </row>
    <row r="51" spans="1:13" x14ac:dyDescent="0.25">
      <c r="A51" t="s">
        <v>98</v>
      </c>
      <c r="B51" t="s">
        <v>99</v>
      </c>
      <c r="C51" t="s">
        <v>100</v>
      </c>
      <c r="D51">
        <v>2</v>
      </c>
      <c r="E51">
        <v>2</v>
      </c>
      <c r="F51">
        <v>26.7</v>
      </c>
      <c r="G51">
        <v>732</v>
      </c>
      <c r="H51">
        <v>914</v>
      </c>
      <c r="I51">
        <f t="shared" si="1"/>
        <v>182</v>
      </c>
      <c r="J51" t="s">
        <v>101</v>
      </c>
      <c r="K51" t="s">
        <v>136</v>
      </c>
      <c r="L51" t="s">
        <v>102</v>
      </c>
      <c r="M51" t="s">
        <v>168</v>
      </c>
    </row>
    <row r="52" spans="1:13" x14ac:dyDescent="0.25">
      <c r="A52" t="s">
        <v>98</v>
      </c>
      <c r="B52" t="s">
        <v>99</v>
      </c>
      <c r="C52" t="s">
        <v>100</v>
      </c>
      <c r="D52">
        <v>1</v>
      </c>
      <c r="E52">
        <v>3</v>
      </c>
      <c r="F52">
        <v>26.7</v>
      </c>
      <c r="G52">
        <v>714</v>
      </c>
      <c r="H52">
        <v>716</v>
      </c>
      <c r="I52">
        <f t="shared" si="1"/>
        <v>2</v>
      </c>
      <c r="J52" t="s">
        <v>101</v>
      </c>
      <c r="K52" t="s">
        <v>136</v>
      </c>
      <c r="L52" t="s">
        <v>102</v>
      </c>
      <c r="M52" t="s">
        <v>169</v>
      </c>
    </row>
    <row r="53" spans="1:13" x14ac:dyDescent="0.25">
      <c r="A53" t="s">
        <v>98</v>
      </c>
      <c r="B53" t="s">
        <v>99</v>
      </c>
      <c r="C53" t="s">
        <v>100</v>
      </c>
      <c r="D53">
        <v>2</v>
      </c>
      <c r="E53">
        <v>3</v>
      </c>
      <c r="F53">
        <v>26.7</v>
      </c>
      <c r="G53">
        <v>732</v>
      </c>
      <c r="H53">
        <v>735</v>
      </c>
      <c r="I53">
        <f t="shared" si="1"/>
        <v>3</v>
      </c>
      <c r="J53" t="s">
        <v>101</v>
      </c>
      <c r="K53" t="s">
        <v>136</v>
      </c>
      <c r="L53" t="s">
        <v>102</v>
      </c>
      <c r="M53" t="s">
        <v>170</v>
      </c>
    </row>
    <row r="54" spans="1:13" x14ac:dyDescent="0.25">
      <c r="A54" t="s">
        <v>98</v>
      </c>
      <c r="B54" t="s">
        <v>103</v>
      </c>
      <c r="C54" t="s">
        <v>104</v>
      </c>
      <c r="D54">
        <v>1</v>
      </c>
      <c r="E54">
        <v>1</v>
      </c>
      <c r="F54">
        <v>22.5</v>
      </c>
      <c r="G54">
        <v>507</v>
      </c>
      <c r="H54">
        <v>723</v>
      </c>
      <c r="I54">
        <f t="shared" si="1"/>
        <v>216</v>
      </c>
      <c r="J54" t="s">
        <v>105</v>
      </c>
      <c r="K54" t="s">
        <v>137</v>
      </c>
      <c r="L54" t="s">
        <v>106</v>
      </c>
      <c r="M54" t="s">
        <v>142</v>
      </c>
    </row>
    <row r="55" spans="1:13" x14ac:dyDescent="0.25">
      <c r="A55" t="s">
        <v>98</v>
      </c>
      <c r="B55" t="s">
        <v>103</v>
      </c>
      <c r="C55" t="s">
        <v>104</v>
      </c>
      <c r="D55">
        <v>2</v>
      </c>
      <c r="E55">
        <v>1</v>
      </c>
      <c r="F55">
        <v>22.5</v>
      </c>
      <c r="G55">
        <v>511</v>
      </c>
      <c r="H55">
        <v>684</v>
      </c>
      <c r="I55">
        <f t="shared" si="1"/>
        <v>173</v>
      </c>
      <c r="J55" t="s">
        <v>105</v>
      </c>
      <c r="K55" t="s">
        <v>137</v>
      </c>
      <c r="L55" t="s">
        <v>106</v>
      </c>
      <c r="M55" t="s">
        <v>155</v>
      </c>
    </row>
    <row r="56" spans="1:13" x14ac:dyDescent="0.25">
      <c r="A56" t="s">
        <v>98</v>
      </c>
      <c r="B56" t="s">
        <v>103</v>
      </c>
      <c r="C56" t="s">
        <v>104</v>
      </c>
      <c r="D56">
        <v>3</v>
      </c>
      <c r="E56">
        <v>1</v>
      </c>
      <c r="F56">
        <v>22.5</v>
      </c>
      <c r="G56">
        <v>506</v>
      </c>
      <c r="H56">
        <v>794</v>
      </c>
      <c r="I56">
        <f t="shared" si="1"/>
        <v>288</v>
      </c>
      <c r="J56" t="s">
        <v>105</v>
      </c>
      <c r="K56" t="s">
        <v>137</v>
      </c>
      <c r="L56" t="s">
        <v>106</v>
      </c>
      <c r="M56" t="s">
        <v>158</v>
      </c>
    </row>
    <row r="57" spans="1:13" x14ac:dyDescent="0.25">
      <c r="A57" t="s">
        <v>98</v>
      </c>
      <c r="B57" t="s">
        <v>103</v>
      </c>
      <c r="C57" t="s">
        <v>104</v>
      </c>
      <c r="D57">
        <v>1</v>
      </c>
      <c r="E57">
        <v>2</v>
      </c>
      <c r="F57">
        <v>22.5</v>
      </c>
      <c r="G57">
        <v>507</v>
      </c>
      <c r="H57">
        <v>587</v>
      </c>
      <c r="I57">
        <f t="shared" si="1"/>
        <v>80</v>
      </c>
      <c r="J57" t="s">
        <v>105</v>
      </c>
      <c r="K57" t="s">
        <v>137</v>
      </c>
      <c r="L57" t="s">
        <v>106</v>
      </c>
      <c r="M57" t="s">
        <v>152</v>
      </c>
    </row>
    <row r="58" spans="1:13" x14ac:dyDescent="0.25">
      <c r="A58" t="s">
        <v>98</v>
      </c>
      <c r="B58" t="s">
        <v>103</v>
      </c>
      <c r="C58" t="s">
        <v>104</v>
      </c>
      <c r="D58">
        <v>2</v>
      </c>
      <c r="E58">
        <v>2</v>
      </c>
      <c r="F58">
        <v>22.5</v>
      </c>
      <c r="G58">
        <v>511</v>
      </c>
      <c r="H58">
        <v>562</v>
      </c>
      <c r="I58">
        <f t="shared" si="1"/>
        <v>51</v>
      </c>
      <c r="J58" t="s">
        <v>105</v>
      </c>
      <c r="K58" t="s">
        <v>137</v>
      </c>
      <c r="L58" t="s">
        <v>106</v>
      </c>
      <c r="M58" t="s">
        <v>156</v>
      </c>
    </row>
    <row r="59" spans="1:13" x14ac:dyDescent="0.25">
      <c r="A59" t="s">
        <v>98</v>
      </c>
      <c r="B59" t="s">
        <v>103</v>
      </c>
      <c r="C59" t="s">
        <v>104</v>
      </c>
      <c r="D59">
        <v>1</v>
      </c>
      <c r="E59">
        <v>3</v>
      </c>
      <c r="F59">
        <v>22.5</v>
      </c>
      <c r="G59">
        <v>507</v>
      </c>
      <c r="H59">
        <v>508</v>
      </c>
      <c r="I59">
        <f t="shared" si="1"/>
        <v>1</v>
      </c>
      <c r="J59" t="s">
        <v>105</v>
      </c>
      <c r="K59" t="s">
        <v>137</v>
      </c>
      <c r="L59" t="s">
        <v>106</v>
      </c>
      <c r="M59" t="s">
        <v>153</v>
      </c>
    </row>
    <row r="60" spans="1:13" x14ac:dyDescent="0.25">
      <c r="A60" t="s">
        <v>98</v>
      </c>
      <c r="B60" t="s">
        <v>103</v>
      </c>
      <c r="C60" t="s">
        <v>104</v>
      </c>
      <c r="D60">
        <v>2</v>
      </c>
      <c r="E60">
        <v>3</v>
      </c>
      <c r="F60">
        <v>22.5</v>
      </c>
      <c r="G60">
        <v>511</v>
      </c>
      <c r="H60">
        <v>513</v>
      </c>
      <c r="I60">
        <f t="shared" si="1"/>
        <v>2</v>
      </c>
      <c r="J60" t="s">
        <v>105</v>
      </c>
      <c r="K60" t="s">
        <v>137</v>
      </c>
      <c r="L60" t="s">
        <v>106</v>
      </c>
      <c r="M60" t="s">
        <v>157</v>
      </c>
    </row>
    <row r="61" spans="1:13" x14ac:dyDescent="0.25">
      <c r="A61" t="s">
        <v>98</v>
      </c>
      <c r="B61" t="s">
        <v>103</v>
      </c>
      <c r="C61" t="s">
        <v>104</v>
      </c>
      <c r="D61">
        <v>3</v>
      </c>
      <c r="E61">
        <v>2</v>
      </c>
      <c r="F61">
        <v>22.5</v>
      </c>
      <c r="G61">
        <v>506</v>
      </c>
      <c r="H61">
        <v>671</v>
      </c>
      <c r="I61">
        <f t="shared" si="1"/>
        <v>165</v>
      </c>
      <c r="J61" t="s">
        <v>105</v>
      </c>
      <c r="K61" t="s">
        <v>137</v>
      </c>
      <c r="L61" t="s">
        <v>106</v>
      </c>
      <c r="M61" t="s">
        <v>159</v>
      </c>
    </row>
    <row r="62" spans="1:13" x14ac:dyDescent="0.25">
      <c r="A62" t="s">
        <v>98</v>
      </c>
      <c r="B62" t="s">
        <v>103</v>
      </c>
      <c r="C62" t="s">
        <v>104</v>
      </c>
      <c r="D62">
        <v>3</v>
      </c>
      <c r="E62">
        <v>3</v>
      </c>
      <c r="F62">
        <v>22.5</v>
      </c>
      <c r="G62">
        <v>506</v>
      </c>
      <c r="H62">
        <v>508</v>
      </c>
      <c r="I62">
        <f t="shared" si="1"/>
        <v>2</v>
      </c>
      <c r="J62" t="s">
        <v>105</v>
      </c>
      <c r="K62" t="s">
        <v>137</v>
      </c>
      <c r="L62" t="s">
        <v>106</v>
      </c>
      <c r="M62" t="s">
        <v>160</v>
      </c>
    </row>
    <row r="63" spans="1:13" x14ac:dyDescent="0.25">
      <c r="A63" t="s">
        <v>98</v>
      </c>
      <c r="B63" t="s">
        <v>28</v>
      </c>
      <c r="C63" t="s">
        <v>107</v>
      </c>
      <c r="D63">
        <v>1</v>
      </c>
      <c r="E63">
        <v>1</v>
      </c>
      <c r="F63">
        <v>26.7</v>
      </c>
      <c r="G63">
        <v>722</v>
      </c>
      <c r="H63">
        <v>996</v>
      </c>
      <c r="I63">
        <f t="shared" si="1"/>
        <v>274</v>
      </c>
      <c r="J63" t="s">
        <v>108</v>
      </c>
      <c r="K63" t="s">
        <v>138</v>
      </c>
      <c r="L63" t="s">
        <v>109</v>
      </c>
      <c r="M63" t="s">
        <v>143</v>
      </c>
    </row>
    <row r="64" spans="1:13" x14ac:dyDescent="0.25">
      <c r="A64" t="s">
        <v>98</v>
      </c>
      <c r="B64" t="s">
        <v>28</v>
      </c>
      <c r="C64" t="s">
        <v>107</v>
      </c>
      <c r="D64">
        <v>2</v>
      </c>
      <c r="E64">
        <v>1</v>
      </c>
      <c r="F64">
        <v>26.7</v>
      </c>
      <c r="G64">
        <v>691</v>
      </c>
      <c r="H64">
        <v>1004</v>
      </c>
      <c r="I64">
        <f t="shared" si="1"/>
        <v>313</v>
      </c>
      <c r="J64" t="s">
        <v>108</v>
      </c>
      <c r="K64" t="s">
        <v>138</v>
      </c>
      <c r="L64" t="s">
        <v>109</v>
      </c>
      <c r="M64" t="s">
        <v>164</v>
      </c>
    </row>
    <row r="65" spans="1:13" x14ac:dyDescent="0.25">
      <c r="A65" t="s">
        <v>98</v>
      </c>
      <c r="B65" t="s">
        <v>28</v>
      </c>
      <c r="C65" t="s">
        <v>107</v>
      </c>
      <c r="D65">
        <v>2</v>
      </c>
      <c r="E65">
        <v>2</v>
      </c>
      <c r="F65">
        <v>26.7</v>
      </c>
      <c r="G65">
        <v>691</v>
      </c>
      <c r="H65">
        <v>843</v>
      </c>
      <c r="I65">
        <f t="shared" si="1"/>
        <v>152</v>
      </c>
      <c r="J65" t="s">
        <v>108</v>
      </c>
      <c r="K65" t="s">
        <v>138</v>
      </c>
      <c r="L65" t="s">
        <v>109</v>
      </c>
      <c r="M65" t="s">
        <v>144</v>
      </c>
    </row>
    <row r="66" spans="1:13" x14ac:dyDescent="0.25">
      <c r="A66" t="s">
        <v>98</v>
      </c>
      <c r="B66" t="s">
        <v>28</v>
      </c>
      <c r="C66" t="s">
        <v>107</v>
      </c>
      <c r="D66">
        <v>2</v>
      </c>
      <c r="E66">
        <v>3</v>
      </c>
      <c r="F66">
        <v>26.7</v>
      </c>
      <c r="G66">
        <v>691</v>
      </c>
      <c r="H66">
        <v>691</v>
      </c>
      <c r="I66">
        <f t="shared" si="1"/>
        <v>0</v>
      </c>
      <c r="J66" t="s">
        <v>108</v>
      </c>
      <c r="K66" t="s">
        <v>138</v>
      </c>
      <c r="L66" t="s">
        <v>109</v>
      </c>
      <c r="M66" t="s">
        <v>162</v>
      </c>
    </row>
    <row r="67" spans="1:13" x14ac:dyDescent="0.25">
      <c r="A67" t="s">
        <v>98</v>
      </c>
      <c r="B67" t="s">
        <v>28</v>
      </c>
      <c r="C67" t="s">
        <v>107</v>
      </c>
      <c r="D67">
        <v>3</v>
      </c>
      <c r="E67">
        <v>1</v>
      </c>
      <c r="F67">
        <v>26.7</v>
      </c>
      <c r="G67">
        <v>734</v>
      </c>
      <c r="H67">
        <v>1044</v>
      </c>
      <c r="I67">
        <f t="shared" si="1"/>
        <v>310</v>
      </c>
      <c r="J67" t="s">
        <v>108</v>
      </c>
      <c r="K67" t="s">
        <v>138</v>
      </c>
      <c r="L67" t="s">
        <v>109</v>
      </c>
      <c r="M67" t="s">
        <v>165</v>
      </c>
    </row>
    <row r="68" spans="1:13" x14ac:dyDescent="0.25">
      <c r="A68" t="s">
        <v>98</v>
      </c>
      <c r="B68" t="s">
        <v>28</v>
      </c>
      <c r="C68" t="s">
        <v>107</v>
      </c>
      <c r="D68">
        <v>1</v>
      </c>
      <c r="E68">
        <v>2</v>
      </c>
      <c r="F68">
        <v>26.7</v>
      </c>
      <c r="G68">
        <v>722</v>
      </c>
      <c r="H68">
        <v>879</v>
      </c>
      <c r="I68">
        <f t="shared" si="1"/>
        <v>157</v>
      </c>
      <c r="J68" t="s">
        <v>108</v>
      </c>
      <c r="K68" t="s">
        <v>138</v>
      </c>
      <c r="L68" t="s">
        <v>109</v>
      </c>
      <c r="M68" t="s">
        <v>154</v>
      </c>
    </row>
    <row r="69" spans="1:13" x14ac:dyDescent="0.25">
      <c r="A69" t="s">
        <v>98</v>
      </c>
      <c r="B69" t="s">
        <v>28</v>
      </c>
      <c r="C69" t="s">
        <v>107</v>
      </c>
      <c r="D69">
        <v>1</v>
      </c>
      <c r="E69">
        <v>3</v>
      </c>
      <c r="F69">
        <v>26.7</v>
      </c>
      <c r="G69">
        <v>722</v>
      </c>
      <c r="H69">
        <v>722</v>
      </c>
      <c r="I69">
        <f t="shared" si="1"/>
        <v>0</v>
      </c>
      <c r="J69" t="s">
        <v>108</v>
      </c>
      <c r="K69" t="s">
        <v>138</v>
      </c>
      <c r="L69" t="s">
        <v>109</v>
      </c>
      <c r="M69" t="s">
        <v>161</v>
      </c>
    </row>
    <row r="70" spans="1:13" x14ac:dyDescent="0.25">
      <c r="A70" t="s">
        <v>98</v>
      </c>
      <c r="B70" t="s">
        <v>28</v>
      </c>
      <c r="C70" t="s">
        <v>107</v>
      </c>
      <c r="D70">
        <v>3</v>
      </c>
      <c r="E70">
        <v>2</v>
      </c>
      <c r="F70">
        <v>26.7</v>
      </c>
      <c r="G70">
        <v>734</v>
      </c>
      <c r="H70">
        <v>967</v>
      </c>
      <c r="I70">
        <f t="shared" si="1"/>
        <v>233</v>
      </c>
      <c r="J70" t="s">
        <v>108</v>
      </c>
      <c r="K70" t="s">
        <v>138</v>
      </c>
      <c r="L70" t="s">
        <v>109</v>
      </c>
      <c r="M70" t="s">
        <v>163</v>
      </c>
    </row>
    <row r="71" spans="1:13" x14ac:dyDescent="0.25">
      <c r="A71" t="s">
        <v>98</v>
      </c>
      <c r="B71" t="s">
        <v>28</v>
      </c>
      <c r="C71" t="s">
        <v>107</v>
      </c>
      <c r="D71">
        <v>3</v>
      </c>
      <c r="E71">
        <v>3</v>
      </c>
      <c r="F71">
        <v>26.7</v>
      </c>
      <c r="G71">
        <v>734</v>
      </c>
      <c r="H71">
        <v>738</v>
      </c>
      <c r="I71">
        <f t="shared" si="1"/>
        <v>4</v>
      </c>
      <c r="J71" t="s">
        <v>108</v>
      </c>
      <c r="K71" t="s">
        <v>138</v>
      </c>
      <c r="L71" t="s">
        <v>109</v>
      </c>
      <c r="M71" t="s">
        <v>145</v>
      </c>
    </row>
    <row r="72" spans="1:13" ht="81" x14ac:dyDescent="0.25">
      <c r="A72" s="4" t="s">
        <v>36</v>
      </c>
      <c r="B72" s="5">
        <v>45582</v>
      </c>
      <c r="C72" s="4" t="s">
        <v>37</v>
      </c>
      <c r="D72" s="4">
        <v>1</v>
      </c>
      <c r="E72" s="4" t="s">
        <v>38</v>
      </c>
      <c r="F72" s="6">
        <v>26.6</v>
      </c>
      <c r="G72" s="4">
        <v>575</v>
      </c>
      <c r="H72" s="4">
        <v>669</v>
      </c>
      <c r="I72" s="7">
        <f>H72-G72</f>
        <v>94</v>
      </c>
      <c r="J72" s="4" t="s">
        <v>39</v>
      </c>
      <c r="K72" s="4" t="s">
        <v>39</v>
      </c>
      <c r="L72" s="4" t="s">
        <v>40</v>
      </c>
      <c r="M72" t="s">
        <v>201</v>
      </c>
    </row>
    <row r="73" spans="1:13" ht="81" x14ac:dyDescent="0.25">
      <c r="A73" s="4" t="s">
        <v>36</v>
      </c>
      <c r="B73" s="5">
        <v>45582</v>
      </c>
      <c r="C73" s="4" t="s">
        <v>37</v>
      </c>
      <c r="D73" s="4">
        <v>1</v>
      </c>
      <c r="E73" s="4" t="s">
        <v>41</v>
      </c>
      <c r="F73" s="6">
        <v>26.6</v>
      </c>
      <c r="G73" s="4">
        <v>575</v>
      </c>
      <c r="H73" s="4">
        <v>610</v>
      </c>
      <c r="I73" s="7">
        <f>H73-G73</f>
        <v>35</v>
      </c>
      <c r="J73" s="4" t="s">
        <v>39</v>
      </c>
      <c r="K73" s="4" t="s">
        <v>39</v>
      </c>
      <c r="L73" s="4" t="s">
        <v>42</v>
      </c>
      <c r="M73" t="s">
        <v>200</v>
      </c>
    </row>
    <row r="74" spans="1:13" ht="81" x14ac:dyDescent="0.25">
      <c r="A74" s="4" t="s">
        <v>36</v>
      </c>
      <c r="B74" s="5">
        <v>45582</v>
      </c>
      <c r="C74" s="4" t="s">
        <v>37</v>
      </c>
      <c r="D74" s="4">
        <v>1</v>
      </c>
      <c r="E74" s="4" t="s">
        <v>27</v>
      </c>
      <c r="F74" s="6">
        <v>26.6</v>
      </c>
      <c r="G74" s="4">
        <v>575</v>
      </c>
      <c r="H74" s="4">
        <v>575</v>
      </c>
      <c r="I74" s="7">
        <f>H74-G74</f>
        <v>0</v>
      </c>
      <c r="J74" s="4" t="s">
        <v>39</v>
      </c>
      <c r="K74" s="4" t="s">
        <v>39</v>
      </c>
      <c r="L74" s="4" t="s">
        <v>43</v>
      </c>
      <c r="M74" t="s">
        <v>199</v>
      </c>
    </row>
    <row r="75" spans="1:13" ht="81" x14ac:dyDescent="0.25">
      <c r="A75" s="4" t="s">
        <v>36</v>
      </c>
      <c r="B75" s="5">
        <v>45582</v>
      </c>
      <c r="C75" s="4" t="s">
        <v>37</v>
      </c>
      <c r="D75" s="7">
        <v>2</v>
      </c>
      <c r="E75" s="4" t="s">
        <v>38</v>
      </c>
      <c r="F75" s="6">
        <v>26.6</v>
      </c>
      <c r="G75" s="7">
        <v>661</v>
      </c>
      <c r="H75" s="7">
        <v>799</v>
      </c>
      <c r="I75" s="7">
        <f t="shared" ref="I75:I81" si="2">H75-G75</f>
        <v>138</v>
      </c>
      <c r="J75" s="4" t="s">
        <v>39</v>
      </c>
      <c r="K75" s="4" t="s">
        <v>39</v>
      </c>
      <c r="L75" s="4" t="s">
        <v>44</v>
      </c>
      <c r="M75" t="s">
        <v>202</v>
      </c>
    </row>
    <row r="76" spans="1:13" ht="81" x14ac:dyDescent="0.25">
      <c r="A76" s="4" t="s">
        <v>36</v>
      </c>
      <c r="B76" s="5">
        <v>45582</v>
      </c>
      <c r="C76" s="4" t="s">
        <v>37</v>
      </c>
      <c r="D76" s="4">
        <v>2</v>
      </c>
      <c r="E76" s="4" t="s">
        <v>41</v>
      </c>
      <c r="F76" s="6">
        <v>26.6</v>
      </c>
      <c r="G76" s="7">
        <v>661</v>
      </c>
      <c r="H76" s="4">
        <v>695</v>
      </c>
      <c r="I76" s="7">
        <f>H76-G76</f>
        <v>34</v>
      </c>
      <c r="J76" s="4" t="s">
        <v>39</v>
      </c>
      <c r="K76" s="4" t="s">
        <v>39</v>
      </c>
      <c r="L76" s="4" t="s">
        <v>45</v>
      </c>
      <c r="M76" t="s">
        <v>205</v>
      </c>
    </row>
    <row r="77" spans="1:13" ht="81" x14ac:dyDescent="0.25">
      <c r="A77" s="4" t="s">
        <v>36</v>
      </c>
      <c r="B77" s="5">
        <v>45582</v>
      </c>
      <c r="C77" s="4" t="s">
        <v>37</v>
      </c>
      <c r="D77" s="4">
        <v>2</v>
      </c>
      <c r="E77" s="4" t="s">
        <v>27</v>
      </c>
      <c r="F77" s="6">
        <v>26.6</v>
      </c>
      <c r="G77" s="7">
        <v>661</v>
      </c>
      <c r="H77" s="4">
        <v>661</v>
      </c>
      <c r="I77" s="7">
        <f>H77-G77</f>
        <v>0</v>
      </c>
      <c r="J77" s="4" t="s">
        <v>39</v>
      </c>
      <c r="K77" s="4" t="s">
        <v>39</v>
      </c>
      <c r="L77" s="4" t="s">
        <v>46</v>
      </c>
      <c r="M77" t="s">
        <v>206</v>
      </c>
    </row>
    <row r="78" spans="1:13" ht="81" x14ac:dyDescent="0.25">
      <c r="A78" s="4" t="s">
        <v>36</v>
      </c>
      <c r="B78" s="5">
        <v>45582</v>
      </c>
      <c r="C78" s="4" t="s">
        <v>37</v>
      </c>
      <c r="D78" s="7">
        <v>3</v>
      </c>
      <c r="E78" s="4" t="s">
        <v>38</v>
      </c>
      <c r="F78" s="7">
        <v>25</v>
      </c>
      <c r="G78" s="7">
        <v>626</v>
      </c>
      <c r="H78" s="4">
        <v>779</v>
      </c>
      <c r="I78" s="7">
        <f t="shared" si="2"/>
        <v>153</v>
      </c>
      <c r="J78" s="4" t="s">
        <v>39</v>
      </c>
      <c r="K78" s="4" t="s">
        <v>39</v>
      </c>
      <c r="L78" s="4" t="s">
        <v>47</v>
      </c>
      <c r="M78" t="s">
        <v>203</v>
      </c>
    </row>
    <row r="79" spans="1:13" ht="81" x14ac:dyDescent="0.25">
      <c r="A79" s="4" t="s">
        <v>36</v>
      </c>
      <c r="B79" s="5">
        <v>45582</v>
      </c>
      <c r="C79" s="4" t="s">
        <v>37</v>
      </c>
      <c r="D79" s="7">
        <v>4</v>
      </c>
      <c r="E79" s="4" t="s">
        <v>38</v>
      </c>
      <c r="F79" s="6">
        <v>26.6</v>
      </c>
      <c r="G79" s="7">
        <v>578</v>
      </c>
      <c r="H79" s="7">
        <v>748</v>
      </c>
      <c r="I79" s="7">
        <f t="shared" si="2"/>
        <v>170</v>
      </c>
      <c r="J79" s="4" t="s">
        <v>39</v>
      </c>
      <c r="K79" s="4" t="s">
        <v>39</v>
      </c>
      <c r="L79" s="4" t="s">
        <v>48</v>
      </c>
      <c r="M79" t="s">
        <v>204</v>
      </c>
    </row>
    <row r="80" spans="1:13" ht="81" x14ac:dyDescent="0.25">
      <c r="A80" s="4" t="s">
        <v>36</v>
      </c>
      <c r="B80" s="5">
        <v>45582</v>
      </c>
      <c r="C80" s="4" t="s">
        <v>37</v>
      </c>
      <c r="D80" s="4">
        <v>4</v>
      </c>
      <c r="E80" s="4" t="s">
        <v>41</v>
      </c>
      <c r="F80" s="6">
        <v>26.6</v>
      </c>
      <c r="G80" s="7">
        <v>578</v>
      </c>
      <c r="H80" s="4">
        <v>618</v>
      </c>
      <c r="I80" s="7">
        <f t="shared" si="2"/>
        <v>40</v>
      </c>
      <c r="J80" s="4" t="s">
        <v>39</v>
      </c>
      <c r="K80" s="4" t="s">
        <v>39</v>
      </c>
      <c r="L80" s="4" t="s">
        <v>49</v>
      </c>
      <c r="M80" t="s">
        <v>207</v>
      </c>
    </row>
    <row r="81" spans="1:13" ht="81" x14ac:dyDescent="0.25">
      <c r="A81" s="4" t="s">
        <v>36</v>
      </c>
      <c r="B81" s="5">
        <v>45582</v>
      </c>
      <c r="C81" s="4" t="s">
        <v>37</v>
      </c>
      <c r="D81" s="4">
        <v>4</v>
      </c>
      <c r="E81" s="4" t="s">
        <v>27</v>
      </c>
      <c r="F81" s="6">
        <v>26.6</v>
      </c>
      <c r="G81" s="7">
        <v>578</v>
      </c>
      <c r="H81" s="4">
        <v>578</v>
      </c>
      <c r="I81" s="7">
        <f t="shared" si="2"/>
        <v>0</v>
      </c>
      <c r="J81" s="4" t="s">
        <v>39</v>
      </c>
      <c r="K81" s="4" t="s">
        <v>39</v>
      </c>
      <c r="L81" s="4" t="s">
        <v>50</v>
      </c>
      <c r="M81" t="s">
        <v>208</v>
      </c>
    </row>
    <row r="82" spans="1:13" ht="81" x14ac:dyDescent="0.25">
      <c r="A82" s="8" t="s">
        <v>36</v>
      </c>
      <c r="B82" s="9">
        <v>45583</v>
      </c>
      <c r="C82" s="8" t="s">
        <v>51</v>
      </c>
      <c r="D82" s="8">
        <v>1</v>
      </c>
      <c r="E82" s="8" t="s">
        <v>38</v>
      </c>
      <c r="F82" s="10">
        <v>26.8</v>
      </c>
      <c r="G82" s="8">
        <v>658</v>
      </c>
      <c r="H82" s="8">
        <v>833</v>
      </c>
      <c r="I82" s="11">
        <f>H82-G82</f>
        <v>175</v>
      </c>
      <c r="J82" s="8" t="s">
        <v>52</v>
      </c>
      <c r="K82" s="8" t="s">
        <v>52</v>
      </c>
      <c r="L82" s="8" t="s">
        <v>53</v>
      </c>
      <c r="M82" t="s">
        <v>211</v>
      </c>
    </row>
    <row r="83" spans="1:13" ht="81" x14ac:dyDescent="0.25">
      <c r="A83" s="8" t="s">
        <v>36</v>
      </c>
      <c r="B83" s="9">
        <v>45583</v>
      </c>
      <c r="C83" s="8" t="s">
        <v>51</v>
      </c>
      <c r="D83" s="8">
        <v>1</v>
      </c>
      <c r="E83" s="8" t="s">
        <v>41</v>
      </c>
      <c r="F83" s="10">
        <v>26.8</v>
      </c>
      <c r="G83" s="8">
        <v>658</v>
      </c>
      <c r="H83" s="8">
        <v>710</v>
      </c>
      <c r="I83" s="11">
        <f>H83-G83</f>
        <v>52</v>
      </c>
      <c r="J83" s="8" t="s">
        <v>52</v>
      </c>
      <c r="K83" s="8" t="s">
        <v>52</v>
      </c>
      <c r="L83" s="8" t="s">
        <v>54</v>
      </c>
      <c r="M83" t="s">
        <v>210</v>
      </c>
    </row>
    <row r="84" spans="1:13" ht="81" x14ac:dyDescent="0.25">
      <c r="A84" s="8" t="s">
        <v>36</v>
      </c>
      <c r="B84" s="9">
        <v>45583</v>
      </c>
      <c r="C84" s="8" t="s">
        <v>51</v>
      </c>
      <c r="D84" s="8">
        <v>1</v>
      </c>
      <c r="E84" s="8" t="s">
        <v>27</v>
      </c>
      <c r="F84" s="10">
        <v>26.8</v>
      </c>
      <c r="G84" s="8">
        <v>658</v>
      </c>
      <c r="H84" s="8">
        <v>664</v>
      </c>
      <c r="I84" s="11">
        <f>H84-G84</f>
        <v>6</v>
      </c>
      <c r="J84" s="8" t="s">
        <v>52</v>
      </c>
      <c r="K84" s="8" t="s">
        <v>52</v>
      </c>
      <c r="L84" s="8" t="s">
        <v>55</v>
      </c>
      <c r="M84" t="s">
        <v>209</v>
      </c>
    </row>
    <row r="85" spans="1:13" ht="81" x14ac:dyDescent="0.25">
      <c r="A85" s="8" t="s">
        <v>36</v>
      </c>
      <c r="B85" s="9">
        <v>45583</v>
      </c>
      <c r="C85" s="8" t="s">
        <v>51</v>
      </c>
      <c r="D85" s="11">
        <v>2</v>
      </c>
      <c r="E85" s="8" t="s">
        <v>38</v>
      </c>
      <c r="F85" s="10">
        <v>25</v>
      </c>
      <c r="G85" s="11">
        <v>634</v>
      </c>
      <c r="H85" s="11">
        <v>835</v>
      </c>
      <c r="I85" s="11">
        <f t="shared" ref="I85:I95" si="3">H85-G85</f>
        <v>201</v>
      </c>
      <c r="J85" s="8" t="s">
        <v>52</v>
      </c>
      <c r="K85" s="8" t="s">
        <v>52</v>
      </c>
      <c r="L85" s="8" t="s">
        <v>56</v>
      </c>
      <c r="M85" t="s">
        <v>212</v>
      </c>
    </row>
    <row r="86" spans="1:13" ht="81" x14ac:dyDescent="0.25">
      <c r="A86" s="8" t="s">
        <v>36</v>
      </c>
      <c r="B86" s="9">
        <v>45583</v>
      </c>
      <c r="C86" s="8" t="s">
        <v>51</v>
      </c>
      <c r="D86" s="11">
        <v>3</v>
      </c>
      <c r="E86" s="8" t="s">
        <v>38</v>
      </c>
      <c r="F86" s="11">
        <v>26.8</v>
      </c>
      <c r="G86" s="11">
        <v>573</v>
      </c>
      <c r="H86" s="8">
        <v>768</v>
      </c>
      <c r="I86" s="11">
        <f t="shared" si="3"/>
        <v>195</v>
      </c>
      <c r="J86" s="8" t="s">
        <v>52</v>
      </c>
      <c r="K86" s="8" t="s">
        <v>52</v>
      </c>
      <c r="L86" s="8" t="s">
        <v>57</v>
      </c>
      <c r="M86" t="s">
        <v>215</v>
      </c>
    </row>
    <row r="87" spans="1:13" ht="81" x14ac:dyDescent="0.25">
      <c r="A87" s="8" t="s">
        <v>36</v>
      </c>
      <c r="B87" s="9">
        <v>45583</v>
      </c>
      <c r="C87" s="8" t="s">
        <v>51</v>
      </c>
      <c r="D87" s="8">
        <v>3</v>
      </c>
      <c r="E87" s="8" t="s">
        <v>41</v>
      </c>
      <c r="F87" s="11">
        <v>26.8</v>
      </c>
      <c r="G87" s="11">
        <v>573</v>
      </c>
      <c r="H87" s="11">
        <v>670</v>
      </c>
      <c r="I87" s="11">
        <f t="shared" si="3"/>
        <v>97</v>
      </c>
      <c r="J87" s="8" t="s">
        <v>52</v>
      </c>
      <c r="K87" s="8" t="s">
        <v>52</v>
      </c>
      <c r="L87" s="8" t="s">
        <v>58</v>
      </c>
      <c r="M87" t="s">
        <v>214</v>
      </c>
    </row>
    <row r="88" spans="1:13" ht="81" x14ac:dyDescent="0.25">
      <c r="A88" s="8" t="s">
        <v>36</v>
      </c>
      <c r="B88" s="9">
        <v>45583</v>
      </c>
      <c r="C88" s="8" t="s">
        <v>51</v>
      </c>
      <c r="D88" s="8">
        <v>3</v>
      </c>
      <c r="E88" s="8" t="s">
        <v>27</v>
      </c>
      <c r="F88" s="11">
        <v>26.8</v>
      </c>
      <c r="G88" s="11">
        <v>573</v>
      </c>
      <c r="H88" s="11">
        <v>632</v>
      </c>
      <c r="I88" s="11">
        <f t="shared" si="3"/>
        <v>59</v>
      </c>
      <c r="J88" s="8" t="s">
        <v>52</v>
      </c>
      <c r="K88" s="8" t="s">
        <v>52</v>
      </c>
      <c r="L88" s="8" t="s">
        <v>59</v>
      </c>
      <c r="M88" t="s">
        <v>213</v>
      </c>
    </row>
    <row r="89" spans="1:13" ht="81" x14ac:dyDescent="0.25">
      <c r="A89" s="12" t="s">
        <v>36</v>
      </c>
      <c r="B89" s="13">
        <v>45584</v>
      </c>
      <c r="C89" s="12" t="s">
        <v>60</v>
      </c>
      <c r="D89" s="12">
        <v>1</v>
      </c>
      <c r="E89" s="12" t="s">
        <v>38</v>
      </c>
      <c r="F89" s="14">
        <v>22.8</v>
      </c>
      <c r="G89" s="12">
        <v>385</v>
      </c>
      <c r="H89" s="12">
        <v>501</v>
      </c>
      <c r="I89" s="15">
        <f t="shared" si="3"/>
        <v>116</v>
      </c>
      <c r="J89" s="12" t="s">
        <v>61</v>
      </c>
      <c r="K89" s="12" t="s">
        <v>61</v>
      </c>
      <c r="L89" s="12" t="s">
        <v>62</v>
      </c>
      <c r="M89" t="s">
        <v>146</v>
      </c>
    </row>
    <row r="90" spans="1:13" ht="81" x14ac:dyDescent="0.25">
      <c r="A90" s="12" t="s">
        <v>36</v>
      </c>
      <c r="B90" s="13">
        <v>45584</v>
      </c>
      <c r="C90" s="12" t="s">
        <v>60</v>
      </c>
      <c r="D90" s="12">
        <v>1</v>
      </c>
      <c r="E90" s="12" t="s">
        <v>41</v>
      </c>
      <c r="F90" s="14">
        <v>22.8</v>
      </c>
      <c r="G90" s="12">
        <v>385</v>
      </c>
      <c r="H90" s="12">
        <v>436</v>
      </c>
      <c r="I90" s="15">
        <f t="shared" si="3"/>
        <v>51</v>
      </c>
      <c r="J90" s="12" t="s">
        <v>61</v>
      </c>
      <c r="K90" s="12" t="s">
        <v>61</v>
      </c>
      <c r="L90" s="12" t="s">
        <v>62</v>
      </c>
      <c r="M90" t="s">
        <v>147</v>
      </c>
    </row>
    <row r="91" spans="1:13" ht="81" x14ac:dyDescent="0.25">
      <c r="A91" s="12" t="s">
        <v>36</v>
      </c>
      <c r="B91" s="13">
        <v>45584</v>
      </c>
      <c r="C91" s="12" t="s">
        <v>60</v>
      </c>
      <c r="D91" s="12">
        <v>1</v>
      </c>
      <c r="E91" s="12" t="s">
        <v>27</v>
      </c>
      <c r="F91" s="14">
        <v>22.8</v>
      </c>
      <c r="G91" s="12">
        <v>385</v>
      </c>
      <c r="H91" s="12">
        <v>391</v>
      </c>
      <c r="I91" s="15">
        <f t="shared" si="3"/>
        <v>6</v>
      </c>
      <c r="J91" s="12" t="s">
        <v>61</v>
      </c>
      <c r="K91" s="12" t="s">
        <v>61</v>
      </c>
      <c r="L91" s="12" t="s">
        <v>62</v>
      </c>
      <c r="M91" t="s">
        <v>148</v>
      </c>
    </row>
    <row r="92" spans="1:13" ht="67.5" x14ac:dyDescent="0.25">
      <c r="A92" s="12" t="s">
        <v>36</v>
      </c>
      <c r="B92" s="13">
        <v>45584</v>
      </c>
      <c r="C92" s="12" t="s">
        <v>60</v>
      </c>
      <c r="D92" s="15">
        <v>2</v>
      </c>
      <c r="E92" s="12" t="s">
        <v>38</v>
      </c>
      <c r="F92" s="14">
        <v>22.8</v>
      </c>
      <c r="G92" s="15">
        <v>396</v>
      </c>
      <c r="H92" s="15">
        <v>517</v>
      </c>
      <c r="I92" s="15">
        <f t="shared" si="3"/>
        <v>121</v>
      </c>
      <c r="J92" s="12" t="s">
        <v>61</v>
      </c>
      <c r="K92" s="12" t="s">
        <v>61</v>
      </c>
      <c r="L92" s="15" t="s">
        <v>62</v>
      </c>
      <c r="M92" t="s">
        <v>149</v>
      </c>
    </row>
    <row r="93" spans="1:13" ht="67.5" x14ac:dyDescent="0.25">
      <c r="A93" s="12" t="s">
        <v>36</v>
      </c>
      <c r="B93" s="13">
        <v>45584</v>
      </c>
      <c r="C93" s="12" t="s">
        <v>60</v>
      </c>
      <c r="D93" s="15">
        <v>3</v>
      </c>
      <c r="E93" s="12" t="s">
        <v>38</v>
      </c>
      <c r="F93" s="14">
        <v>22.8</v>
      </c>
      <c r="G93" s="15">
        <v>389</v>
      </c>
      <c r="H93" s="12">
        <v>538</v>
      </c>
      <c r="I93" s="15">
        <f t="shared" si="3"/>
        <v>149</v>
      </c>
      <c r="J93" s="12" t="s">
        <v>61</v>
      </c>
      <c r="K93" s="12" t="s">
        <v>61</v>
      </c>
      <c r="L93" s="15" t="s">
        <v>62</v>
      </c>
      <c r="M93" t="s">
        <v>140</v>
      </c>
    </row>
    <row r="94" spans="1:13" ht="67.5" x14ac:dyDescent="0.25">
      <c r="A94" s="12" t="s">
        <v>36</v>
      </c>
      <c r="B94" s="13">
        <v>45584</v>
      </c>
      <c r="C94" s="12" t="s">
        <v>60</v>
      </c>
      <c r="D94" s="12">
        <v>3</v>
      </c>
      <c r="E94" s="12" t="s">
        <v>41</v>
      </c>
      <c r="F94" s="14">
        <v>22.8</v>
      </c>
      <c r="G94" s="15">
        <v>389</v>
      </c>
      <c r="H94" s="15">
        <v>428</v>
      </c>
      <c r="I94" s="15">
        <f t="shared" si="3"/>
        <v>39</v>
      </c>
      <c r="J94" s="12" t="s">
        <v>61</v>
      </c>
      <c r="K94" s="12" t="s">
        <v>61</v>
      </c>
      <c r="L94" s="15" t="s">
        <v>62</v>
      </c>
      <c r="M94" t="s">
        <v>151</v>
      </c>
    </row>
    <row r="95" spans="1:13" ht="67.5" x14ac:dyDescent="0.25">
      <c r="A95" s="12" t="s">
        <v>36</v>
      </c>
      <c r="B95" s="13">
        <v>45584</v>
      </c>
      <c r="C95" s="12" t="s">
        <v>60</v>
      </c>
      <c r="D95" s="12">
        <v>3</v>
      </c>
      <c r="E95" s="12" t="s">
        <v>27</v>
      </c>
      <c r="F95" s="14">
        <v>22.8</v>
      </c>
      <c r="G95" s="15">
        <v>389</v>
      </c>
      <c r="H95" s="15">
        <v>390</v>
      </c>
      <c r="I95" s="15">
        <f t="shared" si="3"/>
        <v>1</v>
      </c>
      <c r="J95" s="12" t="s">
        <v>61</v>
      </c>
      <c r="K95" s="12" t="s">
        <v>61</v>
      </c>
      <c r="L95" s="15" t="s">
        <v>62</v>
      </c>
      <c r="M95" t="s">
        <v>150</v>
      </c>
    </row>
  </sheetData>
  <phoneticPr fontId="5" type="noConversion"/>
  <hyperlinks>
    <hyperlink ref="L30" r:id="rId1" xr:uid="{288E8815-90AA-4D71-B058-1BB7BAD40E32}"/>
    <hyperlink ref="L31:L35" r:id="rId2" display="https://www.hellofresh.de/recipes/garnelen-in-mediterraner-marinade-auf-orzo-salat-65b24289d1da3988cdd86720" xr:uid="{37ABCE65-4BFE-4321-AA5B-141E1B58F1DC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Morren, M.H. (MH)</dc:creator>
  <cp:keywords/>
  <dc:description/>
  <cp:lastModifiedBy>Morren, M.H. (MH)</cp:lastModifiedBy>
  <cp:revision/>
  <dcterms:created xsi:type="dcterms:W3CDTF">2024-10-09T16:15:16Z</dcterms:created>
  <dcterms:modified xsi:type="dcterms:W3CDTF">2024-11-01T08:31:43Z</dcterms:modified>
  <cp:category/>
  <cp:contentStatus/>
</cp:coreProperties>
</file>